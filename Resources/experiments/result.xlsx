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"/>
    </mc:Choice>
  </mc:AlternateContent>
  <xr:revisionPtr revIDLastSave="0" documentId="13_ncr:1_{CDC7D08F-9B7F-4522-9262-A8A22E5FB103}" xr6:coauthVersionLast="47" xr6:coauthVersionMax="47" xr10:uidLastSave="{00000000-0000-0000-0000-000000000000}"/>
  <bookViews>
    <workbookView xWindow="-120" yWindow="-120" windowWidth="29040" windowHeight="15720" xr2:uid="{B6222BE5-703D-4CA7-8A0E-616DC73853A6}"/>
  </bookViews>
  <sheets>
    <sheet name="intro_20260622" sheetId="24" r:id="rId1"/>
    <sheet name="result_20260622" sheetId="20" r:id="rId2"/>
    <sheet name="sum_orient_20260622" sheetId="21" r:id="rId3"/>
    <sheet name="sum_pos_20260622" sheetId="22" r:id="rId4"/>
    <sheet name="sum_fail_20260622" sheetId="23" r:id="rId5"/>
    <sheet name="intro_20260605" sheetId="16" r:id="rId6"/>
    <sheet name="result_20260605" sheetId="10" r:id="rId7"/>
    <sheet name="sum_orient_20260605" sheetId="11" r:id="rId8"/>
    <sheet name="sum_pos_20260605" sheetId="12" r:id="rId9"/>
    <sheet name="sum_fail_20260605" sheetId="13" r:id="rId10"/>
    <sheet name="intro_20260611" sheetId="14" r:id="rId11"/>
    <sheet name="result_20260611" sheetId="15" r:id="rId12"/>
    <sheet name="sum_orient_20260611" sheetId="17" r:id="rId13"/>
    <sheet name="sum_pos_20260611" sheetId="18" r:id="rId14"/>
    <sheet name="sum_fail_20260611" sheetId="19" r:id="rId15"/>
  </sheets>
  <externalReferences>
    <externalReference r:id="rId16"/>
  </externalReferences>
  <definedNames>
    <definedName name="_xlnm._FilterDatabase" localSheetId="6" hidden="1">result_20260605!$A$1:$Q$164</definedName>
    <definedName name="_xlnm._FilterDatabase" localSheetId="11" hidden="1">result_20260611!$A$1:$Q$164</definedName>
    <definedName name="_xlnm._FilterDatabase" localSheetId="1" hidden="1">result_20260622!$A$1:$R$164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" i="24" l="1"/>
  <c r="M19" i="24"/>
  <c r="L19" i="24"/>
  <c r="K19" i="24"/>
  <c r="J19" i="24"/>
  <c r="I19" i="24"/>
  <c r="H19" i="24"/>
  <c r="G19" i="24"/>
  <c r="E25" i="24"/>
  <c r="E23" i="24"/>
  <c r="E21" i="24"/>
  <c r="D25" i="24"/>
  <c r="D23" i="24"/>
  <c r="D21" i="24"/>
  <c r="C25" i="24"/>
  <c r="C23" i="24"/>
  <c r="C21" i="24"/>
  <c r="C3" i="23"/>
  <c r="G3" i="23" a="1"/>
  <c r="G3" i="23" s="1"/>
  <c r="G4" i="23" a="1"/>
  <c r="G4" i="23" s="1"/>
  <c r="G5" i="23" a="1"/>
  <c r="G5" i="23" s="1"/>
  <c r="G6" i="23" a="1"/>
  <c r="G6" i="23" s="1"/>
  <c r="G7" i="23" a="1"/>
  <c r="G7" i="23" s="1"/>
  <c r="G8" i="23" a="1"/>
  <c r="G8" i="23" s="1"/>
  <c r="G9" i="23" a="1"/>
  <c r="G9" i="23" s="1"/>
  <c r="L3" i="23" a="1"/>
  <c r="L3" i="23"/>
  <c r="L4" i="23" a="1"/>
  <c r="L4" i="23"/>
  <c r="L5" i="23" a="1"/>
  <c r="L5" i="23"/>
  <c r="L6" i="23" a="1"/>
  <c r="L6" i="23"/>
  <c r="L7" i="23" a="1"/>
  <c r="L7" i="23"/>
  <c r="L8" i="23" a="1"/>
  <c r="L8" i="23"/>
  <c r="L9" i="23" a="1"/>
  <c r="L9" i="23"/>
  <c r="K3" i="23" a="1"/>
  <c r="K3" i="23" s="1"/>
  <c r="K4" i="23" a="1"/>
  <c r="K4" i="23" s="1"/>
  <c r="K5" i="23" a="1"/>
  <c r="K5" i="23"/>
  <c r="K6" i="23" a="1"/>
  <c r="K6" i="23" s="1"/>
  <c r="K7" i="23" a="1"/>
  <c r="K7" i="23"/>
  <c r="K8" i="23" a="1"/>
  <c r="K8" i="23" s="1"/>
  <c r="K9" i="23" a="1"/>
  <c r="K9" i="23" s="1"/>
  <c r="J3" i="23" a="1"/>
  <c r="J3" i="23"/>
  <c r="J4" i="23" a="1"/>
  <c r="J4" i="23"/>
  <c r="J5" i="23" a="1"/>
  <c r="J5" i="23"/>
  <c r="J6" i="23" a="1"/>
  <c r="J6" i="23"/>
  <c r="J7" i="23" a="1"/>
  <c r="J7" i="23"/>
  <c r="J8" i="23" a="1"/>
  <c r="J8" i="23"/>
  <c r="J9" i="23" a="1"/>
  <c r="J9" i="23"/>
  <c r="I3" i="23" a="1"/>
  <c r="I3" i="23" s="1"/>
  <c r="I4" i="23" a="1"/>
  <c r="I4" i="23"/>
  <c r="I5" i="23" a="1"/>
  <c r="I5" i="23" s="1"/>
  <c r="I6" i="23" a="1"/>
  <c r="I6" i="23" s="1"/>
  <c r="I7" i="23" a="1"/>
  <c r="I7" i="23" s="1"/>
  <c r="I8" i="23" a="1"/>
  <c r="I8" i="23" s="1"/>
  <c r="I9" i="23" a="1"/>
  <c r="I9" i="23" s="1"/>
  <c r="H3" i="23" a="1"/>
  <c r="H3" i="23" s="1"/>
  <c r="H4" i="23" a="1"/>
  <c r="H4" i="23"/>
  <c r="H5" i="23" a="1"/>
  <c r="H5" i="23" s="1"/>
  <c r="H6" i="23" a="1"/>
  <c r="H6" i="23" s="1"/>
  <c r="H7" i="23" a="1"/>
  <c r="H7" i="23" s="1"/>
  <c r="H8" i="23" a="1"/>
  <c r="H8" i="23" s="1"/>
  <c r="H9" i="23" a="1"/>
  <c r="H9" i="23" s="1"/>
  <c r="L2" i="23" a="1"/>
  <c r="L2" i="23"/>
  <c r="K2" i="23" a="1"/>
  <c r="K2" i="23" s="1"/>
  <c r="J2" i="23" a="1"/>
  <c r="J2" i="23" s="1"/>
  <c r="I2" i="23" a="1"/>
  <c r="I2" i="23" s="1"/>
  <c r="H2" i="23" a="1"/>
  <c r="H2" i="23" s="1"/>
  <c r="G2" i="23" a="1"/>
  <c r="G2" i="23"/>
  <c r="B27" i="23"/>
  <c r="B26" i="23"/>
  <c r="B25" i="23"/>
  <c r="B24" i="23"/>
  <c r="B23" i="23"/>
  <c r="B20" i="23"/>
  <c r="B18" i="23"/>
  <c r="B17" i="23"/>
  <c r="B16" i="23"/>
  <c r="B15" i="23"/>
  <c r="B11" i="23"/>
  <c r="B10" i="23"/>
  <c r="B9" i="23"/>
  <c r="J21" i="22"/>
  <c r="J11" i="22"/>
  <c r="I10" i="21"/>
  <c r="J10" i="21"/>
  <c r="I19" i="21"/>
  <c r="J19" i="21"/>
  <c r="I15" i="21"/>
  <c r="J15" i="21"/>
  <c r="I16" i="21"/>
  <c r="J16" i="21"/>
  <c r="I17" i="21"/>
  <c r="J17" i="21"/>
  <c r="I18" i="21"/>
  <c r="J18" i="21"/>
  <c r="J14" i="21"/>
  <c r="I3" i="21"/>
  <c r="J3" i="21"/>
  <c r="I4" i="21"/>
  <c r="J4" i="21"/>
  <c r="I5" i="21"/>
  <c r="J5" i="21"/>
  <c r="I6" i="21"/>
  <c r="J6" i="21"/>
  <c r="I7" i="21"/>
  <c r="J7" i="21"/>
  <c r="I8" i="21"/>
  <c r="J8" i="21"/>
  <c r="I9" i="21"/>
  <c r="J9" i="21"/>
  <c r="J2" i="21"/>
  <c r="I16" i="22"/>
  <c r="J16" i="22"/>
  <c r="I17" i="22"/>
  <c r="J17" i="22"/>
  <c r="I18" i="22"/>
  <c r="J18" i="22"/>
  <c r="I19" i="22"/>
  <c r="J19" i="22"/>
  <c r="I20" i="22"/>
  <c r="J20" i="22"/>
  <c r="J15" i="22"/>
  <c r="I3" i="22"/>
  <c r="J3" i="22"/>
  <c r="I4" i="22"/>
  <c r="J4" i="22"/>
  <c r="I5" i="22"/>
  <c r="J5" i="22"/>
  <c r="I6" i="22"/>
  <c r="J6" i="22"/>
  <c r="I7" i="22"/>
  <c r="J7" i="22"/>
  <c r="I8" i="22"/>
  <c r="J8" i="22"/>
  <c r="I9" i="22"/>
  <c r="J9" i="22"/>
  <c r="I10" i="22"/>
  <c r="J10" i="22"/>
  <c r="J2" i="22"/>
  <c r="B8" i="23"/>
  <c r="B7" i="23"/>
  <c r="B6" i="23"/>
  <c r="B5" i="23"/>
  <c r="B4" i="23"/>
  <c r="B3" i="23"/>
  <c r="B2" i="23"/>
  <c r="D26" i="23"/>
  <c r="B19" i="23"/>
  <c r="B16" i="22"/>
  <c r="C16" i="22"/>
  <c r="D16" i="22"/>
  <c r="E16" i="22"/>
  <c r="F16" i="22"/>
  <c r="G16" i="22"/>
  <c r="H16" i="22"/>
  <c r="K16" i="22"/>
  <c r="L16" i="22"/>
  <c r="M16" i="22"/>
  <c r="N16" i="22"/>
  <c r="O16" i="22"/>
  <c r="B17" i="22"/>
  <c r="C17" i="22"/>
  <c r="D17" i="22"/>
  <c r="E17" i="22"/>
  <c r="F17" i="22"/>
  <c r="G17" i="22"/>
  <c r="H17" i="22"/>
  <c r="K17" i="22"/>
  <c r="L17" i="22"/>
  <c r="M17" i="22"/>
  <c r="N17" i="22"/>
  <c r="O17" i="22"/>
  <c r="O21" i="22" s="1"/>
  <c r="B18" i="22"/>
  <c r="C18" i="22"/>
  <c r="D18" i="22"/>
  <c r="E18" i="22"/>
  <c r="F18" i="22"/>
  <c r="G18" i="22"/>
  <c r="H18" i="22"/>
  <c r="K18" i="22"/>
  <c r="L18" i="22"/>
  <c r="M18" i="22"/>
  <c r="N18" i="22"/>
  <c r="O18" i="22"/>
  <c r="B19" i="22"/>
  <c r="C19" i="22"/>
  <c r="D19" i="22"/>
  <c r="E19" i="22"/>
  <c r="F19" i="22"/>
  <c r="G19" i="22"/>
  <c r="H19" i="22"/>
  <c r="K19" i="22"/>
  <c r="L19" i="22"/>
  <c r="M19" i="22"/>
  <c r="N19" i="22"/>
  <c r="O19" i="22"/>
  <c r="B20" i="22"/>
  <c r="C20" i="22"/>
  <c r="D20" i="22"/>
  <c r="E20" i="22"/>
  <c r="F20" i="22"/>
  <c r="G20" i="22"/>
  <c r="H20" i="22"/>
  <c r="K20" i="22"/>
  <c r="L20" i="22"/>
  <c r="M20" i="22"/>
  <c r="N20" i="22"/>
  <c r="O20" i="22"/>
  <c r="C15" i="22"/>
  <c r="D15" i="22"/>
  <c r="E15" i="22"/>
  <c r="F15" i="22"/>
  <c r="G15" i="22"/>
  <c r="H15" i="22"/>
  <c r="I15" i="22"/>
  <c r="K15" i="22"/>
  <c r="L15" i="22"/>
  <c r="M15" i="22"/>
  <c r="N15" i="22"/>
  <c r="O15" i="22"/>
  <c r="B15" i="22"/>
  <c r="B3" i="22"/>
  <c r="C3" i="22"/>
  <c r="D3" i="22"/>
  <c r="E3" i="22"/>
  <c r="F3" i="22"/>
  <c r="G3" i="22"/>
  <c r="H3" i="22"/>
  <c r="K3" i="22"/>
  <c r="L3" i="22"/>
  <c r="M3" i="22"/>
  <c r="N3" i="22"/>
  <c r="O3" i="22"/>
  <c r="B4" i="22"/>
  <c r="C4" i="22"/>
  <c r="D4" i="22"/>
  <c r="E4" i="22"/>
  <c r="F4" i="22"/>
  <c r="G4" i="22"/>
  <c r="H4" i="22"/>
  <c r="K4" i="22"/>
  <c r="L4" i="22"/>
  <c r="M4" i="22"/>
  <c r="N4" i="22"/>
  <c r="O4" i="22"/>
  <c r="B5" i="22"/>
  <c r="C5" i="22"/>
  <c r="D5" i="22"/>
  <c r="E5" i="22"/>
  <c r="F5" i="22"/>
  <c r="G5" i="22"/>
  <c r="H5" i="22"/>
  <c r="K5" i="22"/>
  <c r="L5" i="22"/>
  <c r="M5" i="22"/>
  <c r="N5" i="22"/>
  <c r="O5" i="22"/>
  <c r="B6" i="22"/>
  <c r="C6" i="22"/>
  <c r="D6" i="22"/>
  <c r="E6" i="22"/>
  <c r="F6" i="22"/>
  <c r="G6" i="22"/>
  <c r="H6" i="22"/>
  <c r="K6" i="22"/>
  <c r="L6" i="22"/>
  <c r="M6" i="22"/>
  <c r="N6" i="22"/>
  <c r="O6" i="22"/>
  <c r="B7" i="22"/>
  <c r="C7" i="22"/>
  <c r="D7" i="22"/>
  <c r="E7" i="22"/>
  <c r="F7" i="22"/>
  <c r="G7" i="22"/>
  <c r="H7" i="22"/>
  <c r="H11" i="22" s="1"/>
  <c r="K7" i="22"/>
  <c r="L7" i="22"/>
  <c r="M7" i="22"/>
  <c r="N7" i="22"/>
  <c r="O7" i="22"/>
  <c r="B8" i="22"/>
  <c r="C8" i="22"/>
  <c r="D8" i="22"/>
  <c r="E8" i="22"/>
  <c r="F8" i="22"/>
  <c r="G8" i="22"/>
  <c r="H8" i="22"/>
  <c r="K8" i="22"/>
  <c r="L8" i="22"/>
  <c r="M8" i="22"/>
  <c r="N8" i="22"/>
  <c r="O8" i="22"/>
  <c r="B9" i="22"/>
  <c r="C9" i="22"/>
  <c r="D9" i="22"/>
  <c r="E9" i="22"/>
  <c r="F9" i="22"/>
  <c r="G9" i="22"/>
  <c r="H9" i="22"/>
  <c r="K9" i="22"/>
  <c r="L9" i="22"/>
  <c r="M9" i="22"/>
  <c r="N9" i="22"/>
  <c r="O9" i="22"/>
  <c r="B10" i="22"/>
  <c r="C10" i="22"/>
  <c r="D10" i="22"/>
  <c r="E10" i="22"/>
  <c r="F10" i="22"/>
  <c r="G10" i="22"/>
  <c r="H10" i="22"/>
  <c r="K10" i="22"/>
  <c r="L10" i="22"/>
  <c r="M10" i="22"/>
  <c r="N10" i="22"/>
  <c r="O10" i="22"/>
  <c r="C2" i="22"/>
  <c r="D2" i="22"/>
  <c r="E2" i="22"/>
  <c r="F2" i="22"/>
  <c r="G2" i="22"/>
  <c r="H2" i="22"/>
  <c r="I2" i="22"/>
  <c r="K2" i="22"/>
  <c r="L2" i="22"/>
  <c r="M2" i="22"/>
  <c r="N2" i="22"/>
  <c r="O2" i="22"/>
  <c r="B2" i="22"/>
  <c r="P16" i="22"/>
  <c r="Q16" i="22" s="1"/>
  <c r="P8" i="22"/>
  <c r="Q8" i="22" s="1"/>
  <c r="P7" i="22"/>
  <c r="Q7" i="22" s="1"/>
  <c r="P3" i="22"/>
  <c r="Q3" i="22" s="1"/>
  <c r="B15" i="21"/>
  <c r="C15" i="21"/>
  <c r="D15" i="21"/>
  <c r="E15" i="21"/>
  <c r="F15" i="21"/>
  <c r="G15" i="21"/>
  <c r="H15" i="21"/>
  <c r="K15" i="21"/>
  <c r="L15" i="21"/>
  <c r="M15" i="21"/>
  <c r="N15" i="21"/>
  <c r="O15" i="21"/>
  <c r="B16" i="21"/>
  <c r="C16" i="21"/>
  <c r="D16" i="21"/>
  <c r="E16" i="21"/>
  <c r="F16" i="21"/>
  <c r="G16" i="21"/>
  <c r="H16" i="21"/>
  <c r="K16" i="21"/>
  <c r="L16" i="21"/>
  <c r="M16" i="21"/>
  <c r="N16" i="21"/>
  <c r="O16" i="21"/>
  <c r="B17" i="21"/>
  <c r="C17" i="21"/>
  <c r="D17" i="21"/>
  <c r="E17" i="21"/>
  <c r="F17" i="21"/>
  <c r="G17" i="21"/>
  <c r="H17" i="21"/>
  <c r="K17" i="21"/>
  <c r="L17" i="21"/>
  <c r="M17" i="21"/>
  <c r="N17" i="21"/>
  <c r="O17" i="21"/>
  <c r="B18" i="21"/>
  <c r="C18" i="21"/>
  <c r="D18" i="21"/>
  <c r="E18" i="21"/>
  <c r="F18" i="21"/>
  <c r="G18" i="21"/>
  <c r="H18" i="21"/>
  <c r="K18" i="21"/>
  <c r="L18" i="21"/>
  <c r="M18" i="21"/>
  <c r="N18" i="21"/>
  <c r="O18" i="21"/>
  <c r="C14" i="21"/>
  <c r="D14" i="21"/>
  <c r="E14" i="21"/>
  <c r="F14" i="21"/>
  <c r="G14" i="21"/>
  <c r="H14" i="21"/>
  <c r="I14" i="21"/>
  <c r="K14" i="21"/>
  <c r="L14" i="21"/>
  <c r="M14" i="21"/>
  <c r="N14" i="21"/>
  <c r="O14" i="21"/>
  <c r="B14" i="21"/>
  <c r="B3" i="21"/>
  <c r="C3" i="21"/>
  <c r="D3" i="21"/>
  <c r="E3" i="21"/>
  <c r="F3" i="21"/>
  <c r="G3" i="21"/>
  <c r="H3" i="21"/>
  <c r="K3" i="21"/>
  <c r="L3" i="21"/>
  <c r="M3" i="21"/>
  <c r="N3" i="21"/>
  <c r="O3" i="21"/>
  <c r="B4" i="21"/>
  <c r="C4" i="21"/>
  <c r="D4" i="21"/>
  <c r="E4" i="21"/>
  <c r="F4" i="21"/>
  <c r="G4" i="21"/>
  <c r="H4" i="21"/>
  <c r="K4" i="21"/>
  <c r="L4" i="21"/>
  <c r="M4" i="21"/>
  <c r="N4" i="21"/>
  <c r="O4" i="21"/>
  <c r="B5" i="21"/>
  <c r="C5" i="21"/>
  <c r="D5" i="21"/>
  <c r="E5" i="21"/>
  <c r="F5" i="21"/>
  <c r="G5" i="21"/>
  <c r="H5" i="21"/>
  <c r="K5" i="21"/>
  <c r="L5" i="21"/>
  <c r="M5" i="21"/>
  <c r="N5" i="21"/>
  <c r="O5" i="21"/>
  <c r="B6" i="21"/>
  <c r="C6" i="21"/>
  <c r="D6" i="21"/>
  <c r="E6" i="21"/>
  <c r="F6" i="21"/>
  <c r="G6" i="21"/>
  <c r="H6" i="21"/>
  <c r="K6" i="21"/>
  <c r="L6" i="21"/>
  <c r="M6" i="21"/>
  <c r="N6" i="21"/>
  <c r="O6" i="21"/>
  <c r="B7" i="21"/>
  <c r="C7" i="21"/>
  <c r="D7" i="21"/>
  <c r="E7" i="21"/>
  <c r="F7" i="21"/>
  <c r="G7" i="21"/>
  <c r="H7" i="21"/>
  <c r="K7" i="21"/>
  <c r="L7" i="21"/>
  <c r="M7" i="21"/>
  <c r="N7" i="21"/>
  <c r="O7" i="21"/>
  <c r="B8" i="21"/>
  <c r="C8" i="21"/>
  <c r="D8" i="21"/>
  <c r="E8" i="21"/>
  <c r="F8" i="21"/>
  <c r="G8" i="21"/>
  <c r="H8" i="21"/>
  <c r="K8" i="21"/>
  <c r="L8" i="21"/>
  <c r="M8" i="21"/>
  <c r="N8" i="21"/>
  <c r="O8" i="21"/>
  <c r="B9" i="21"/>
  <c r="C9" i="21"/>
  <c r="D9" i="21"/>
  <c r="E9" i="21"/>
  <c r="F9" i="21"/>
  <c r="G9" i="21"/>
  <c r="H9" i="21"/>
  <c r="K9" i="21"/>
  <c r="L9" i="21"/>
  <c r="M9" i="21"/>
  <c r="N9" i="21"/>
  <c r="O9" i="21"/>
  <c r="C2" i="21"/>
  <c r="D2" i="21"/>
  <c r="E2" i="21"/>
  <c r="F2" i="21"/>
  <c r="G2" i="21"/>
  <c r="H2" i="21"/>
  <c r="I2" i="21"/>
  <c r="K2" i="21"/>
  <c r="L2" i="21"/>
  <c r="M2" i="21"/>
  <c r="N2" i="21"/>
  <c r="O2" i="21"/>
  <c r="B2" i="21"/>
  <c r="J164" i="20"/>
  <c r="P7" i="23" l="1"/>
  <c r="O7" i="23"/>
  <c r="Q7" i="23"/>
  <c r="O5" i="23"/>
  <c r="P5" i="23"/>
  <c r="O9" i="23"/>
  <c r="Q5" i="23"/>
  <c r="P3" i="23"/>
  <c r="P9" i="23"/>
  <c r="Q9" i="23"/>
  <c r="B21" i="23"/>
  <c r="C26" i="23" s="1"/>
  <c r="P15" i="21"/>
  <c r="Q15" i="21" s="1"/>
  <c r="P20" i="22"/>
  <c r="Q20" i="22" s="1"/>
  <c r="P10" i="22"/>
  <c r="Q10" i="22" s="1"/>
  <c r="P19" i="22"/>
  <c r="Q19" i="22" s="1"/>
  <c r="M11" i="22"/>
  <c r="E19" i="21"/>
  <c r="P6" i="22"/>
  <c r="Q6" i="22" s="1"/>
  <c r="L11" i="22"/>
  <c r="G21" i="22"/>
  <c r="P2" i="22"/>
  <c r="P5" i="22"/>
  <c r="Q5" i="22" s="1"/>
  <c r="K11" i="22"/>
  <c r="E11" i="22"/>
  <c r="D11" i="22"/>
  <c r="D21" i="22"/>
  <c r="F21" i="22"/>
  <c r="C21" i="22"/>
  <c r="Q21" i="22" s="1"/>
  <c r="F11" i="22"/>
  <c r="G11" i="22"/>
  <c r="P15" i="22"/>
  <c r="E21" i="22"/>
  <c r="P17" i="22"/>
  <c r="Q17" i="22" s="1"/>
  <c r="P9" i="22"/>
  <c r="Q9" i="22" s="1"/>
  <c r="I11" i="22"/>
  <c r="C11" i="22"/>
  <c r="P4" i="22"/>
  <c r="Q4" i="22" s="1"/>
  <c r="P18" i="22"/>
  <c r="Q18" i="22" s="1"/>
  <c r="P8" i="23"/>
  <c r="N6" i="23"/>
  <c r="M8" i="23"/>
  <c r="N8" i="23"/>
  <c r="Q8" i="23"/>
  <c r="D23" i="23"/>
  <c r="M3" i="23"/>
  <c r="G10" i="23"/>
  <c r="O8" i="23"/>
  <c r="Q3" i="23"/>
  <c r="N3" i="23"/>
  <c r="N4" i="23"/>
  <c r="N5" i="23"/>
  <c r="M5" i="23"/>
  <c r="D25" i="23"/>
  <c r="O3" i="23"/>
  <c r="M4" i="23"/>
  <c r="M2" i="23"/>
  <c r="N2" i="23"/>
  <c r="I10" i="23"/>
  <c r="O2" i="23"/>
  <c r="J10" i="23"/>
  <c r="P2" i="23"/>
  <c r="K10" i="23"/>
  <c r="P4" i="23"/>
  <c r="O6" i="23"/>
  <c r="Q2" i="23"/>
  <c r="L10" i="23"/>
  <c r="Q4" i="23"/>
  <c r="P6" i="23"/>
  <c r="Q6" i="23"/>
  <c r="M6" i="23"/>
  <c r="O4" i="23"/>
  <c r="M7" i="23"/>
  <c r="M9" i="23"/>
  <c r="N7" i="23"/>
  <c r="N9" i="23"/>
  <c r="D24" i="23"/>
  <c r="H10" i="23"/>
  <c r="P21" i="22"/>
  <c r="N21" i="22"/>
  <c r="L21" i="22"/>
  <c r="I21" i="22"/>
  <c r="M21" i="22"/>
  <c r="K21" i="22"/>
  <c r="H21" i="22"/>
  <c r="B21" i="22"/>
  <c r="N11" i="22"/>
  <c r="O11" i="22"/>
  <c r="Q2" i="22"/>
  <c r="P11" i="22"/>
  <c r="Q15" i="22"/>
  <c r="B11" i="22"/>
  <c r="Q11" i="22" s="1"/>
  <c r="P4" i="21"/>
  <c r="Q4" i="21" s="1"/>
  <c r="H19" i="21"/>
  <c r="P18" i="21"/>
  <c r="Q18" i="21" s="1"/>
  <c r="P7" i="21"/>
  <c r="Q7" i="21" s="1"/>
  <c r="D10" i="21"/>
  <c r="G19" i="21"/>
  <c r="F19" i="21"/>
  <c r="P6" i="21"/>
  <c r="Q6" i="21" s="1"/>
  <c r="E10" i="21"/>
  <c r="O10" i="21"/>
  <c r="D19" i="21"/>
  <c r="P5" i="21"/>
  <c r="Q5" i="21" s="1"/>
  <c r="P8" i="21"/>
  <c r="Q8" i="21" s="1"/>
  <c r="P14" i="21"/>
  <c r="Q14" i="21" s="1"/>
  <c r="L19" i="21"/>
  <c r="N19" i="21"/>
  <c r="K19" i="21"/>
  <c r="C10" i="21"/>
  <c r="C19" i="21"/>
  <c r="B19" i="21"/>
  <c r="F10" i="21"/>
  <c r="G10" i="21"/>
  <c r="O19" i="21"/>
  <c r="M19" i="21"/>
  <c r="K10" i="21"/>
  <c r="L10" i="21"/>
  <c r="M10" i="21"/>
  <c r="P3" i="21"/>
  <c r="Q3" i="21" s="1"/>
  <c r="B10" i="21"/>
  <c r="H10" i="21"/>
  <c r="N10" i="21"/>
  <c r="P17" i="21"/>
  <c r="Q17" i="21" s="1"/>
  <c r="P9" i="21"/>
  <c r="Q9" i="21"/>
  <c r="P16" i="21"/>
  <c r="P2" i="21"/>
  <c r="R164" i="20"/>
  <c r="Q164" i="20"/>
  <c r="P164" i="20"/>
  <c r="O164" i="20"/>
  <c r="N164" i="20"/>
  <c r="M164" i="20"/>
  <c r="L164" i="20"/>
  <c r="K164" i="20"/>
  <c r="I164" i="20"/>
  <c r="H164" i="20"/>
  <c r="G164" i="20"/>
  <c r="F164" i="20"/>
  <c r="E164" i="20"/>
  <c r="D163" i="20"/>
  <c r="D162" i="20"/>
  <c r="D161" i="20"/>
  <c r="D160" i="20"/>
  <c r="D159" i="20"/>
  <c r="D158" i="20"/>
  <c r="D157" i="20"/>
  <c r="D156" i="20"/>
  <c r="D155" i="20"/>
  <c r="D154" i="20"/>
  <c r="D153" i="20"/>
  <c r="D152" i="20"/>
  <c r="D151" i="20"/>
  <c r="D150" i="20"/>
  <c r="D149" i="20"/>
  <c r="D148" i="20"/>
  <c r="D147" i="20"/>
  <c r="D146" i="20"/>
  <c r="D145" i="20"/>
  <c r="D144" i="20"/>
  <c r="D143" i="20"/>
  <c r="D142" i="20"/>
  <c r="D141" i="20"/>
  <c r="D140" i="20"/>
  <c r="D139" i="20"/>
  <c r="D138" i="20"/>
  <c r="D137" i="20"/>
  <c r="D136" i="20"/>
  <c r="D135" i="20"/>
  <c r="D134" i="20"/>
  <c r="D133" i="20"/>
  <c r="D132" i="20"/>
  <c r="D131" i="20"/>
  <c r="D130" i="20"/>
  <c r="D129" i="20"/>
  <c r="D128" i="20"/>
  <c r="D127" i="20"/>
  <c r="D126" i="20"/>
  <c r="D125" i="20"/>
  <c r="D124" i="20"/>
  <c r="D123" i="20"/>
  <c r="D122" i="20"/>
  <c r="D121" i="20"/>
  <c r="D120" i="20"/>
  <c r="D119" i="20"/>
  <c r="D118" i="20"/>
  <c r="D117" i="20"/>
  <c r="D116" i="20"/>
  <c r="D115" i="20"/>
  <c r="D114" i="20"/>
  <c r="D113" i="20"/>
  <c r="D112" i="20"/>
  <c r="D111" i="20"/>
  <c r="D110" i="20"/>
  <c r="D109" i="20"/>
  <c r="D108" i="20"/>
  <c r="D107" i="20"/>
  <c r="D106" i="20"/>
  <c r="D105" i="20"/>
  <c r="D104" i="20"/>
  <c r="D103" i="20"/>
  <c r="D102" i="20"/>
  <c r="D101" i="20"/>
  <c r="D100" i="20"/>
  <c r="D99" i="20"/>
  <c r="D98" i="20"/>
  <c r="D97" i="20"/>
  <c r="D96" i="20"/>
  <c r="D95" i="20"/>
  <c r="D94" i="20"/>
  <c r="D93" i="20"/>
  <c r="D92" i="20"/>
  <c r="D91" i="20"/>
  <c r="D90" i="20"/>
  <c r="D89" i="20"/>
  <c r="D88" i="20"/>
  <c r="D87" i="20"/>
  <c r="D86" i="20"/>
  <c r="D85" i="20"/>
  <c r="D84" i="20"/>
  <c r="D83" i="20"/>
  <c r="D82" i="20"/>
  <c r="D81" i="20"/>
  <c r="D80" i="20"/>
  <c r="D79" i="20"/>
  <c r="D78" i="20"/>
  <c r="D77" i="20"/>
  <c r="D76" i="20"/>
  <c r="D75" i="20"/>
  <c r="D74" i="20"/>
  <c r="D73" i="20"/>
  <c r="D72" i="20"/>
  <c r="D71" i="20"/>
  <c r="D70" i="20"/>
  <c r="D69" i="20"/>
  <c r="D68" i="20"/>
  <c r="D67" i="20"/>
  <c r="D66" i="20"/>
  <c r="D65" i="20"/>
  <c r="D64" i="20"/>
  <c r="D63" i="20"/>
  <c r="D62" i="20"/>
  <c r="D61" i="20"/>
  <c r="D60" i="20"/>
  <c r="D59" i="20"/>
  <c r="D58" i="20"/>
  <c r="D57" i="20"/>
  <c r="D56" i="20"/>
  <c r="D55" i="20"/>
  <c r="D54" i="20"/>
  <c r="D53" i="20"/>
  <c r="D52" i="20"/>
  <c r="D51" i="20"/>
  <c r="D50" i="20"/>
  <c r="D49" i="20"/>
  <c r="D48" i="20"/>
  <c r="D47" i="20"/>
  <c r="D46" i="20"/>
  <c r="D45" i="20"/>
  <c r="D44" i="20"/>
  <c r="D43" i="20"/>
  <c r="D42" i="20"/>
  <c r="D41" i="20"/>
  <c r="D40" i="20"/>
  <c r="D39" i="20"/>
  <c r="D38" i="20"/>
  <c r="D37" i="20"/>
  <c r="D36" i="20"/>
  <c r="D35" i="20"/>
  <c r="D34" i="20"/>
  <c r="D33" i="20"/>
  <c r="D32" i="20"/>
  <c r="D31" i="20"/>
  <c r="D30" i="20"/>
  <c r="D29" i="20"/>
  <c r="D28" i="20"/>
  <c r="D27" i="20"/>
  <c r="D26" i="20"/>
  <c r="D25" i="20"/>
  <c r="D24" i="20"/>
  <c r="D23" i="20"/>
  <c r="D22" i="20"/>
  <c r="D21" i="20"/>
  <c r="D20" i="20"/>
  <c r="D19" i="20"/>
  <c r="D18" i="20"/>
  <c r="D17" i="20"/>
  <c r="D16" i="20"/>
  <c r="D15" i="20"/>
  <c r="D14" i="20"/>
  <c r="D13" i="20"/>
  <c r="D12" i="20"/>
  <c r="D11" i="20"/>
  <c r="D10" i="20"/>
  <c r="D9" i="20"/>
  <c r="D8" i="20"/>
  <c r="D7" i="20"/>
  <c r="D6" i="20"/>
  <c r="D5" i="20"/>
  <c r="D4" i="20"/>
  <c r="D3" i="20"/>
  <c r="D2" i="20"/>
  <c r="D23" i="13"/>
  <c r="D24" i="13"/>
  <c r="D25" i="13"/>
  <c r="D22" i="13"/>
  <c r="F15" i="11"/>
  <c r="F16" i="11"/>
  <c r="F17" i="11"/>
  <c r="F18" i="11"/>
  <c r="F4" i="11"/>
  <c r="F5" i="11"/>
  <c r="F6" i="11"/>
  <c r="F7" i="11"/>
  <c r="F8" i="11"/>
  <c r="F9" i="11"/>
  <c r="F3" i="11"/>
  <c r="C10" i="23" l="1"/>
  <c r="C23" i="23"/>
  <c r="C25" i="23"/>
  <c r="C7" i="23"/>
  <c r="C5" i="23"/>
  <c r="C4" i="23"/>
  <c r="C11" i="23"/>
  <c r="C9" i="23"/>
  <c r="C2" i="23"/>
  <c r="C8" i="23"/>
  <c r="C6" i="23"/>
  <c r="C27" i="23"/>
  <c r="C24" i="23"/>
  <c r="P19" i="21"/>
  <c r="Q19" i="21" s="1"/>
  <c r="Q16" i="21"/>
  <c r="P10" i="21"/>
  <c r="Q10" i="21" s="1"/>
  <c r="Q2" i="21"/>
  <c r="N18" i="11"/>
  <c r="M18" i="11"/>
  <c r="L18" i="11"/>
  <c r="K18" i="11"/>
  <c r="J18" i="11"/>
  <c r="I18" i="11"/>
  <c r="H18" i="11"/>
  <c r="G18" i="11"/>
  <c r="E18" i="11"/>
  <c r="D18" i="11"/>
  <c r="C18" i="11"/>
  <c r="B18" i="11"/>
  <c r="N17" i="11"/>
  <c r="M17" i="11"/>
  <c r="L17" i="11"/>
  <c r="K17" i="11"/>
  <c r="J17" i="11"/>
  <c r="I17" i="11"/>
  <c r="H17" i="11"/>
  <c r="G17" i="11"/>
  <c r="E17" i="11"/>
  <c r="D17" i="11"/>
  <c r="C17" i="11"/>
  <c r="B17" i="11"/>
  <c r="N16" i="11"/>
  <c r="M16" i="11"/>
  <c r="L16" i="11"/>
  <c r="K16" i="11"/>
  <c r="J16" i="11"/>
  <c r="I16" i="11"/>
  <c r="H16" i="11"/>
  <c r="G16" i="11"/>
  <c r="E16" i="11"/>
  <c r="D16" i="11"/>
  <c r="C16" i="11"/>
  <c r="B16" i="11"/>
  <c r="N15" i="11"/>
  <c r="M15" i="11"/>
  <c r="L15" i="11"/>
  <c r="K15" i="11"/>
  <c r="J15" i="11"/>
  <c r="I15" i="11"/>
  <c r="H15" i="11"/>
  <c r="G15" i="11"/>
  <c r="E15" i="11"/>
  <c r="D15" i="11"/>
  <c r="C15" i="11"/>
  <c r="B15" i="11"/>
  <c r="N14" i="11"/>
  <c r="M14" i="11"/>
  <c r="L14" i="11"/>
  <c r="K14" i="11"/>
  <c r="J14" i="11"/>
  <c r="I14" i="11"/>
  <c r="H14" i="11"/>
  <c r="G14" i="11"/>
  <c r="F14" i="11"/>
  <c r="E14" i="11"/>
  <c r="D14" i="11"/>
  <c r="C14" i="11"/>
  <c r="B14" i="11"/>
  <c r="N18" i="17"/>
  <c r="M18" i="17"/>
  <c r="L18" i="17"/>
  <c r="K18" i="17"/>
  <c r="J18" i="17"/>
  <c r="I18" i="17"/>
  <c r="H18" i="17"/>
  <c r="G18" i="17"/>
  <c r="F18" i="17"/>
  <c r="E18" i="17"/>
  <c r="D18" i="17"/>
  <c r="C18" i="17"/>
  <c r="B18" i="17"/>
  <c r="N17" i="17"/>
  <c r="M17" i="17"/>
  <c r="L17" i="17"/>
  <c r="K17" i="17"/>
  <c r="J17" i="17"/>
  <c r="I17" i="17"/>
  <c r="H17" i="17"/>
  <c r="G17" i="17"/>
  <c r="F17" i="17"/>
  <c r="E17" i="17"/>
  <c r="D17" i="17"/>
  <c r="C17" i="17"/>
  <c r="B17" i="17"/>
  <c r="N16" i="17"/>
  <c r="M16" i="17"/>
  <c r="L16" i="17"/>
  <c r="K16" i="17"/>
  <c r="J16" i="17"/>
  <c r="I16" i="17"/>
  <c r="H16" i="17"/>
  <c r="G16" i="17"/>
  <c r="F16" i="17"/>
  <c r="E16" i="17"/>
  <c r="D16" i="17"/>
  <c r="C16" i="17"/>
  <c r="B16" i="17"/>
  <c r="N15" i="17"/>
  <c r="M15" i="17"/>
  <c r="L15" i="17"/>
  <c r="K15" i="17"/>
  <c r="J15" i="17"/>
  <c r="I15" i="17"/>
  <c r="H15" i="17"/>
  <c r="G15" i="17"/>
  <c r="F15" i="17"/>
  <c r="E15" i="17"/>
  <c r="D15" i="17"/>
  <c r="C15" i="17"/>
  <c r="B15" i="17"/>
  <c r="N14" i="17"/>
  <c r="M14" i="17"/>
  <c r="L14" i="17"/>
  <c r="K14" i="17"/>
  <c r="J14" i="17"/>
  <c r="I14" i="17"/>
  <c r="H14" i="17"/>
  <c r="G14" i="17"/>
  <c r="F14" i="17"/>
  <c r="E14" i="17"/>
  <c r="D14" i="17"/>
  <c r="C14" i="17"/>
  <c r="B14" i="17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N19" i="12"/>
  <c r="M19" i="12"/>
  <c r="L19" i="12"/>
  <c r="K19" i="12"/>
  <c r="J19" i="12"/>
  <c r="I19" i="12"/>
  <c r="H19" i="12"/>
  <c r="G19" i="12"/>
  <c r="F19" i="12"/>
  <c r="E19" i="12"/>
  <c r="D19" i="12"/>
  <c r="C19" i="12"/>
  <c r="B19" i="12"/>
  <c r="N18" i="12"/>
  <c r="M18" i="12"/>
  <c r="L18" i="12"/>
  <c r="K18" i="12"/>
  <c r="J18" i="12"/>
  <c r="I18" i="12"/>
  <c r="H18" i="12"/>
  <c r="G18" i="12"/>
  <c r="F18" i="12"/>
  <c r="E18" i="12"/>
  <c r="D18" i="12"/>
  <c r="C18" i="12"/>
  <c r="B18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B17" i="12"/>
  <c r="N16" i="12"/>
  <c r="M16" i="12"/>
  <c r="L16" i="12"/>
  <c r="K16" i="12"/>
  <c r="J16" i="12"/>
  <c r="I16" i="12"/>
  <c r="H16" i="12"/>
  <c r="G16" i="12"/>
  <c r="F16" i="12"/>
  <c r="E16" i="12"/>
  <c r="D16" i="12"/>
  <c r="C16" i="12"/>
  <c r="B16" i="12"/>
  <c r="N15" i="12"/>
  <c r="M15" i="12"/>
  <c r="L15" i="12"/>
  <c r="K15" i="12"/>
  <c r="J15" i="12"/>
  <c r="I15" i="12"/>
  <c r="H15" i="12"/>
  <c r="G15" i="12"/>
  <c r="F15" i="12"/>
  <c r="E15" i="12"/>
  <c r="D15" i="12"/>
  <c r="C15" i="12"/>
  <c r="B15" i="12"/>
  <c r="N20" i="18"/>
  <c r="M20" i="18"/>
  <c r="L20" i="18"/>
  <c r="K20" i="18"/>
  <c r="J20" i="18"/>
  <c r="I20" i="18"/>
  <c r="H20" i="18"/>
  <c r="G20" i="18"/>
  <c r="F20" i="18"/>
  <c r="E20" i="18"/>
  <c r="D20" i="18"/>
  <c r="C20" i="18"/>
  <c r="B20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N18" i="18"/>
  <c r="M18" i="18"/>
  <c r="L18" i="18"/>
  <c r="K18" i="18"/>
  <c r="J18" i="18"/>
  <c r="I18" i="18"/>
  <c r="H18" i="18"/>
  <c r="G18" i="18"/>
  <c r="F18" i="18"/>
  <c r="E18" i="18"/>
  <c r="D18" i="18"/>
  <c r="C18" i="18"/>
  <c r="B18" i="18"/>
  <c r="N17" i="18"/>
  <c r="M17" i="18"/>
  <c r="L17" i="18"/>
  <c r="K17" i="18"/>
  <c r="J17" i="18"/>
  <c r="I17" i="18"/>
  <c r="H17" i="18"/>
  <c r="G17" i="18"/>
  <c r="F17" i="18"/>
  <c r="E17" i="18"/>
  <c r="D17" i="18"/>
  <c r="C17" i="18"/>
  <c r="B17" i="18"/>
  <c r="N16" i="18"/>
  <c r="M16" i="18"/>
  <c r="L16" i="18"/>
  <c r="K16" i="18"/>
  <c r="J16" i="18"/>
  <c r="I16" i="18"/>
  <c r="H16" i="18"/>
  <c r="G16" i="18"/>
  <c r="F16" i="18"/>
  <c r="E16" i="18"/>
  <c r="D16" i="18"/>
  <c r="C16" i="18"/>
  <c r="B16" i="18"/>
  <c r="N15" i="18"/>
  <c r="M15" i="18"/>
  <c r="L15" i="18"/>
  <c r="K15" i="18"/>
  <c r="J15" i="18"/>
  <c r="I15" i="18"/>
  <c r="H15" i="18"/>
  <c r="G15" i="18"/>
  <c r="F15" i="18"/>
  <c r="E15" i="18"/>
  <c r="D15" i="18"/>
  <c r="C15" i="18"/>
  <c r="B15" i="18"/>
  <c r="B3" i="18"/>
  <c r="C3" i="18"/>
  <c r="D3" i="18"/>
  <c r="E3" i="18"/>
  <c r="F3" i="18"/>
  <c r="G3" i="18"/>
  <c r="H3" i="18"/>
  <c r="I3" i="18"/>
  <c r="J3" i="18"/>
  <c r="K3" i="18"/>
  <c r="L3" i="18"/>
  <c r="M3" i="18"/>
  <c r="N3" i="18"/>
  <c r="B4" i="18"/>
  <c r="C4" i="18"/>
  <c r="D4" i="18"/>
  <c r="E4" i="18"/>
  <c r="F4" i="18"/>
  <c r="G4" i="18"/>
  <c r="H4" i="18"/>
  <c r="I4" i="18"/>
  <c r="J4" i="18"/>
  <c r="K4" i="18"/>
  <c r="L4" i="18"/>
  <c r="M4" i="18"/>
  <c r="N4" i="18"/>
  <c r="B5" i="18"/>
  <c r="C5" i="18"/>
  <c r="D5" i="18"/>
  <c r="E5" i="18"/>
  <c r="F5" i="18"/>
  <c r="G5" i="18"/>
  <c r="H5" i="18"/>
  <c r="I5" i="18"/>
  <c r="J5" i="18"/>
  <c r="K5" i="18"/>
  <c r="L5" i="18"/>
  <c r="M5" i="18"/>
  <c r="N5" i="18"/>
  <c r="B6" i="18"/>
  <c r="C6" i="18"/>
  <c r="D6" i="18"/>
  <c r="E6" i="18"/>
  <c r="F6" i="18"/>
  <c r="G6" i="18"/>
  <c r="H6" i="18"/>
  <c r="I6" i="18"/>
  <c r="J6" i="18"/>
  <c r="K6" i="18"/>
  <c r="L6" i="18"/>
  <c r="M6" i="18"/>
  <c r="N6" i="18"/>
  <c r="B7" i="18"/>
  <c r="C7" i="18"/>
  <c r="D7" i="18"/>
  <c r="E7" i="18"/>
  <c r="F7" i="18"/>
  <c r="G7" i="18"/>
  <c r="H7" i="18"/>
  <c r="I7" i="18"/>
  <c r="J7" i="18"/>
  <c r="K7" i="18"/>
  <c r="L7" i="18"/>
  <c r="M7" i="18"/>
  <c r="N7" i="18"/>
  <c r="B8" i="18"/>
  <c r="C8" i="18"/>
  <c r="D8" i="18"/>
  <c r="E8" i="18"/>
  <c r="F8" i="18"/>
  <c r="G8" i="18"/>
  <c r="H8" i="18"/>
  <c r="I8" i="18"/>
  <c r="J8" i="18"/>
  <c r="K8" i="18"/>
  <c r="L8" i="18"/>
  <c r="M8" i="18"/>
  <c r="N8" i="18"/>
  <c r="B9" i="18"/>
  <c r="C9" i="18"/>
  <c r="D9" i="18"/>
  <c r="E9" i="18"/>
  <c r="F9" i="18"/>
  <c r="G9" i="18"/>
  <c r="H9" i="18"/>
  <c r="I9" i="18"/>
  <c r="J9" i="18"/>
  <c r="K9" i="18"/>
  <c r="L9" i="18"/>
  <c r="M9" i="18"/>
  <c r="N9" i="18"/>
  <c r="B10" i="18"/>
  <c r="C10" i="18"/>
  <c r="D10" i="18"/>
  <c r="E10" i="18"/>
  <c r="F10" i="18"/>
  <c r="G10" i="18"/>
  <c r="H10" i="18"/>
  <c r="I10" i="18"/>
  <c r="J10" i="18"/>
  <c r="K10" i="18"/>
  <c r="L10" i="18"/>
  <c r="M10" i="18"/>
  <c r="N10" i="18"/>
  <c r="C2" i="18"/>
  <c r="D2" i="18"/>
  <c r="E2" i="18"/>
  <c r="F2" i="18"/>
  <c r="G2" i="18"/>
  <c r="H2" i="18"/>
  <c r="I2" i="18"/>
  <c r="J2" i="18"/>
  <c r="K2" i="18"/>
  <c r="L2" i="18"/>
  <c r="M2" i="18"/>
  <c r="N2" i="18"/>
  <c r="B2" i="18"/>
  <c r="B3" i="17"/>
  <c r="C3" i="17"/>
  <c r="D3" i="17"/>
  <c r="E3" i="17"/>
  <c r="F3" i="17"/>
  <c r="G3" i="17"/>
  <c r="H3" i="17"/>
  <c r="I3" i="17"/>
  <c r="J3" i="17"/>
  <c r="K3" i="17"/>
  <c r="L3" i="17"/>
  <c r="M3" i="17"/>
  <c r="N3" i="17"/>
  <c r="B4" i="17"/>
  <c r="C4" i="17"/>
  <c r="D4" i="17"/>
  <c r="E4" i="17"/>
  <c r="F4" i="17"/>
  <c r="G4" i="17"/>
  <c r="H4" i="17"/>
  <c r="I4" i="17"/>
  <c r="J4" i="17"/>
  <c r="K4" i="17"/>
  <c r="L4" i="17"/>
  <c r="M4" i="17"/>
  <c r="N4" i="17"/>
  <c r="B5" i="17"/>
  <c r="C5" i="17"/>
  <c r="D5" i="17"/>
  <c r="E5" i="17"/>
  <c r="F5" i="17"/>
  <c r="G5" i="17"/>
  <c r="H5" i="17"/>
  <c r="I5" i="17"/>
  <c r="J5" i="17"/>
  <c r="K5" i="17"/>
  <c r="L5" i="17"/>
  <c r="M5" i="17"/>
  <c r="N5" i="17"/>
  <c r="B6" i="17"/>
  <c r="C6" i="17"/>
  <c r="D6" i="17"/>
  <c r="E6" i="17"/>
  <c r="F6" i="17"/>
  <c r="G6" i="17"/>
  <c r="H6" i="17"/>
  <c r="I6" i="17"/>
  <c r="J6" i="17"/>
  <c r="K6" i="17"/>
  <c r="L6" i="17"/>
  <c r="M6" i="17"/>
  <c r="N6" i="17"/>
  <c r="B7" i="17"/>
  <c r="C7" i="17"/>
  <c r="D7" i="17"/>
  <c r="E7" i="17"/>
  <c r="F7" i="17"/>
  <c r="G7" i="17"/>
  <c r="H7" i="17"/>
  <c r="I7" i="17"/>
  <c r="J7" i="17"/>
  <c r="K7" i="17"/>
  <c r="L7" i="17"/>
  <c r="M7" i="17"/>
  <c r="N7" i="17"/>
  <c r="B8" i="17"/>
  <c r="C8" i="17"/>
  <c r="D8" i="17"/>
  <c r="E8" i="17"/>
  <c r="F8" i="17"/>
  <c r="G8" i="17"/>
  <c r="H8" i="17"/>
  <c r="I8" i="17"/>
  <c r="J8" i="17"/>
  <c r="K8" i="17"/>
  <c r="L8" i="17"/>
  <c r="M8" i="17"/>
  <c r="N8" i="17"/>
  <c r="B9" i="17"/>
  <c r="C9" i="17"/>
  <c r="D9" i="17"/>
  <c r="E9" i="17"/>
  <c r="F9" i="17"/>
  <c r="G9" i="17"/>
  <c r="H9" i="17"/>
  <c r="I9" i="17"/>
  <c r="J9" i="17"/>
  <c r="K9" i="17"/>
  <c r="L9" i="17"/>
  <c r="M9" i="17"/>
  <c r="N9" i="17"/>
  <c r="G2" i="17"/>
  <c r="H2" i="17"/>
  <c r="I2" i="17"/>
  <c r="J2" i="17"/>
  <c r="K2" i="17"/>
  <c r="L2" i="17"/>
  <c r="M2" i="17"/>
  <c r="N2" i="17"/>
  <c r="C2" i="17"/>
  <c r="D2" i="17"/>
  <c r="E2" i="17"/>
  <c r="F2" i="17"/>
  <c r="B2" i="17"/>
  <c r="E25" i="16"/>
  <c r="D25" i="16"/>
  <c r="C25" i="16"/>
  <c r="E23" i="16"/>
  <c r="D23" i="16"/>
  <c r="C23" i="16"/>
  <c r="E21" i="16"/>
  <c r="D21" i="16"/>
  <c r="C21" i="16"/>
  <c r="N19" i="16"/>
  <c r="M19" i="16"/>
  <c r="L19" i="16"/>
  <c r="K19" i="16"/>
  <c r="J19" i="16"/>
  <c r="I19" i="16"/>
  <c r="H19" i="16"/>
  <c r="G19" i="16"/>
  <c r="O17" i="17" l="1"/>
  <c r="P17" i="17" s="1"/>
  <c r="O18" i="18"/>
  <c r="P18" i="18" s="1"/>
  <c r="H19" i="11"/>
  <c r="O17" i="11"/>
  <c r="P17" i="11" s="1"/>
  <c r="O18" i="12"/>
  <c r="P18" i="12" s="1"/>
  <c r="F21" i="12"/>
  <c r="O16" i="12"/>
  <c r="P16" i="12" s="1"/>
  <c r="O17" i="12"/>
  <c r="P17" i="12" s="1"/>
  <c r="O16" i="11"/>
  <c r="P16" i="11" s="1"/>
  <c r="F19" i="11"/>
  <c r="O15" i="12"/>
  <c r="P15" i="12" s="1"/>
  <c r="O14" i="11"/>
  <c r="P14" i="11" s="1"/>
  <c r="O16" i="17"/>
  <c r="P16" i="17" s="1"/>
  <c r="D19" i="17"/>
  <c r="G19" i="17"/>
  <c r="O8" i="18"/>
  <c r="P8" i="18" s="1"/>
  <c r="E21" i="14" s="1"/>
  <c r="O19" i="18"/>
  <c r="P19" i="18" s="1"/>
  <c r="C19" i="17"/>
  <c r="O15" i="17"/>
  <c r="P15" i="17" s="1"/>
  <c r="O14" i="17"/>
  <c r="P14" i="17" s="1"/>
  <c r="O7" i="18"/>
  <c r="P7" i="18" s="1"/>
  <c r="D25" i="14" s="1"/>
  <c r="F19" i="17"/>
  <c r="L19" i="11"/>
  <c r="K19" i="11"/>
  <c r="O15" i="11"/>
  <c r="P15" i="11" s="1"/>
  <c r="G19" i="11"/>
  <c r="B19" i="11"/>
  <c r="C19" i="11"/>
  <c r="D19" i="11"/>
  <c r="E19" i="11"/>
  <c r="N19" i="11"/>
  <c r="I19" i="11"/>
  <c r="J19" i="11"/>
  <c r="O18" i="11"/>
  <c r="P18" i="11" s="1"/>
  <c r="M19" i="11"/>
  <c r="L21" i="12"/>
  <c r="G21" i="12"/>
  <c r="O19" i="12"/>
  <c r="P19" i="12" s="1"/>
  <c r="K21" i="12"/>
  <c r="B21" i="12"/>
  <c r="C21" i="12"/>
  <c r="D21" i="12"/>
  <c r="E21" i="12"/>
  <c r="G21" i="18"/>
  <c r="O15" i="18"/>
  <c r="P15" i="18" s="1"/>
  <c r="O20" i="18"/>
  <c r="P20" i="18" s="1"/>
  <c r="L19" i="17"/>
  <c r="B19" i="17"/>
  <c r="K19" i="17"/>
  <c r="E19" i="17"/>
  <c r="H19" i="17"/>
  <c r="I19" i="17"/>
  <c r="M19" i="17"/>
  <c r="N19" i="17"/>
  <c r="J19" i="17"/>
  <c r="O18" i="17"/>
  <c r="P18" i="17" s="1"/>
  <c r="M21" i="12"/>
  <c r="N21" i="12"/>
  <c r="H21" i="12"/>
  <c r="O20" i="12"/>
  <c r="P20" i="12" s="1"/>
  <c r="I21" i="12"/>
  <c r="J21" i="12"/>
  <c r="H21" i="18"/>
  <c r="O16" i="18"/>
  <c r="P16" i="18" s="1"/>
  <c r="N21" i="18"/>
  <c r="C21" i="18"/>
  <c r="D21" i="18"/>
  <c r="J21" i="18"/>
  <c r="K21" i="18"/>
  <c r="E21" i="18"/>
  <c r="F21" i="18"/>
  <c r="I21" i="18"/>
  <c r="L21" i="18"/>
  <c r="M21" i="18"/>
  <c r="O17" i="18"/>
  <c r="P17" i="18" s="1"/>
  <c r="B21" i="18"/>
  <c r="E11" i="18"/>
  <c r="K11" i="18"/>
  <c r="I10" i="17"/>
  <c r="O7" i="17"/>
  <c r="P7" i="17" s="1"/>
  <c r="L19" i="14" s="1"/>
  <c r="O6" i="17"/>
  <c r="P6" i="17" s="1"/>
  <c r="K19" i="14" s="1"/>
  <c r="J11" i="18"/>
  <c r="O6" i="18"/>
  <c r="P6" i="18" s="1"/>
  <c r="D23" i="14" s="1"/>
  <c r="K10" i="17"/>
  <c r="O3" i="18"/>
  <c r="P3" i="18" s="1"/>
  <c r="C23" i="14" s="1"/>
  <c r="O3" i="17"/>
  <c r="P3" i="17" s="1"/>
  <c r="H19" i="14" s="1"/>
  <c r="O9" i="17"/>
  <c r="P9" i="17" s="1"/>
  <c r="N19" i="14" s="1"/>
  <c r="O5" i="17"/>
  <c r="P5" i="17" s="1"/>
  <c r="J19" i="14" s="1"/>
  <c r="O4" i="18"/>
  <c r="P4" i="18" s="1"/>
  <c r="C25" i="14" s="1"/>
  <c r="G10" i="17"/>
  <c r="O9" i="18"/>
  <c r="P9" i="18" s="1"/>
  <c r="E23" i="14" s="1"/>
  <c r="L11" i="18"/>
  <c r="O10" i="18"/>
  <c r="P10" i="18" s="1"/>
  <c r="E25" i="14" s="1"/>
  <c r="O5" i="18"/>
  <c r="P5" i="18" s="1"/>
  <c r="D21" i="14" s="1"/>
  <c r="M10" i="17"/>
  <c r="H11" i="18"/>
  <c r="F11" i="18"/>
  <c r="M11" i="18"/>
  <c r="D11" i="18"/>
  <c r="N11" i="18"/>
  <c r="B11" i="18"/>
  <c r="O2" i="18"/>
  <c r="P2" i="18" s="1"/>
  <c r="C21" i="14" s="1"/>
  <c r="G11" i="18"/>
  <c r="I11" i="18"/>
  <c r="C11" i="18"/>
  <c r="H10" i="17"/>
  <c r="C10" i="17"/>
  <c r="N10" i="17"/>
  <c r="E10" i="17"/>
  <c r="J10" i="17"/>
  <c r="F10" i="17"/>
  <c r="D10" i="17"/>
  <c r="L10" i="17"/>
  <c r="O8" i="17"/>
  <c r="P8" i="17" s="1"/>
  <c r="M19" i="14" s="1"/>
  <c r="B10" i="17"/>
  <c r="O4" i="17"/>
  <c r="P4" i="17" s="1"/>
  <c r="I19" i="14" s="1"/>
  <c r="O2" i="17"/>
  <c r="Q164" i="15"/>
  <c r="B10" i="19" s="1"/>
  <c r="L164" i="15"/>
  <c r="K164" i="15"/>
  <c r="M164" i="15"/>
  <c r="P164" i="15"/>
  <c r="B9" i="19" s="1"/>
  <c r="I164" i="15"/>
  <c r="O164" i="15"/>
  <c r="B8" i="19" s="1"/>
  <c r="J164" i="15"/>
  <c r="N164" i="15"/>
  <c r="H164" i="15"/>
  <c r="B17" i="19" s="1"/>
  <c r="G164" i="15"/>
  <c r="F164" i="15"/>
  <c r="E164" i="15"/>
  <c r="B14" i="19" s="1"/>
  <c r="D163" i="15"/>
  <c r="D162" i="15"/>
  <c r="D161" i="15"/>
  <c r="D160" i="15"/>
  <c r="D159" i="15"/>
  <c r="D158" i="15"/>
  <c r="D157" i="15"/>
  <c r="D156" i="15"/>
  <c r="D155" i="15"/>
  <c r="D154" i="15"/>
  <c r="D153" i="15"/>
  <c r="D152" i="15"/>
  <c r="D151" i="15"/>
  <c r="D150" i="15"/>
  <c r="D149" i="15"/>
  <c r="D148" i="15"/>
  <c r="D147" i="15"/>
  <c r="D146" i="15"/>
  <c r="D145" i="15"/>
  <c r="D144" i="15"/>
  <c r="D143" i="15"/>
  <c r="D142" i="15"/>
  <c r="D141" i="15"/>
  <c r="D140" i="15"/>
  <c r="D139" i="15"/>
  <c r="D138" i="15"/>
  <c r="D137" i="15"/>
  <c r="D136" i="15"/>
  <c r="D135" i="15"/>
  <c r="D134" i="15"/>
  <c r="D133" i="15"/>
  <c r="D132" i="15"/>
  <c r="D131" i="15"/>
  <c r="D130" i="15"/>
  <c r="D129" i="15"/>
  <c r="D128" i="15"/>
  <c r="D127" i="15"/>
  <c r="D126" i="15"/>
  <c r="D125" i="15"/>
  <c r="D124" i="15"/>
  <c r="D123" i="15"/>
  <c r="D122" i="15"/>
  <c r="D121" i="15"/>
  <c r="D120" i="15"/>
  <c r="D119" i="15"/>
  <c r="D118" i="15"/>
  <c r="D117" i="15"/>
  <c r="D116" i="15"/>
  <c r="D115" i="15"/>
  <c r="D114" i="15"/>
  <c r="D113" i="15"/>
  <c r="D112" i="15"/>
  <c r="D111" i="15"/>
  <c r="D110" i="15"/>
  <c r="D109" i="15"/>
  <c r="D108" i="15"/>
  <c r="D107" i="15"/>
  <c r="D106" i="15"/>
  <c r="D105" i="15"/>
  <c r="D104" i="15"/>
  <c r="D103" i="15"/>
  <c r="D102" i="15"/>
  <c r="D101" i="15"/>
  <c r="D100" i="15"/>
  <c r="D99" i="15"/>
  <c r="D98" i="15"/>
  <c r="D97" i="15"/>
  <c r="D96" i="15"/>
  <c r="D95" i="15"/>
  <c r="D94" i="15"/>
  <c r="D93" i="15"/>
  <c r="D92" i="15"/>
  <c r="D91" i="15"/>
  <c r="D90" i="15"/>
  <c r="D89" i="15"/>
  <c r="D88" i="15"/>
  <c r="D87" i="15"/>
  <c r="D86" i="15"/>
  <c r="D85" i="15"/>
  <c r="D84" i="15"/>
  <c r="D83" i="15"/>
  <c r="D82" i="15"/>
  <c r="D81" i="15"/>
  <c r="D80" i="15"/>
  <c r="D79" i="15"/>
  <c r="D78" i="15"/>
  <c r="D77" i="15"/>
  <c r="D76" i="15"/>
  <c r="D75" i="15"/>
  <c r="D74" i="15"/>
  <c r="D73" i="15"/>
  <c r="D72" i="15"/>
  <c r="D71" i="15"/>
  <c r="D70" i="15"/>
  <c r="D69" i="15"/>
  <c r="D68" i="15"/>
  <c r="D67" i="15"/>
  <c r="D66" i="15"/>
  <c r="D65" i="15"/>
  <c r="D64" i="15"/>
  <c r="D63" i="15"/>
  <c r="D62" i="15"/>
  <c r="D61" i="15"/>
  <c r="D60" i="15"/>
  <c r="D59" i="15"/>
  <c r="D58" i="15"/>
  <c r="D57" i="15"/>
  <c r="D56" i="15"/>
  <c r="D55" i="15"/>
  <c r="D54" i="15"/>
  <c r="D53" i="15"/>
  <c r="D52" i="15"/>
  <c r="D51" i="15"/>
  <c r="D50" i="15"/>
  <c r="D49" i="15"/>
  <c r="D48" i="15"/>
  <c r="D47" i="15"/>
  <c r="D46" i="15"/>
  <c r="D45" i="15"/>
  <c r="D44" i="15"/>
  <c r="D43" i="15"/>
  <c r="D42" i="15"/>
  <c r="D41" i="15"/>
  <c r="D40" i="15"/>
  <c r="D39" i="15"/>
  <c r="D38" i="15"/>
  <c r="D37" i="15"/>
  <c r="D36" i="15"/>
  <c r="D35" i="15"/>
  <c r="D34" i="15"/>
  <c r="D33" i="15"/>
  <c r="D32" i="15"/>
  <c r="D31" i="15"/>
  <c r="D30" i="15"/>
  <c r="D29" i="15"/>
  <c r="D28" i="15"/>
  <c r="D27" i="15"/>
  <c r="D26" i="15"/>
  <c r="D25" i="15"/>
  <c r="D24" i="15"/>
  <c r="D23" i="15"/>
  <c r="D22" i="15"/>
  <c r="D21" i="15"/>
  <c r="D20" i="15"/>
  <c r="D19" i="15"/>
  <c r="D18" i="15"/>
  <c r="D17" i="15"/>
  <c r="D16" i="15"/>
  <c r="D15" i="15"/>
  <c r="D14" i="15"/>
  <c r="D13" i="15"/>
  <c r="D12" i="15"/>
  <c r="D11" i="15"/>
  <c r="D10" i="15"/>
  <c r="D9" i="15"/>
  <c r="D8" i="15"/>
  <c r="D7" i="15"/>
  <c r="D6" i="15"/>
  <c r="D5" i="15"/>
  <c r="D4" i="15"/>
  <c r="D3" i="15"/>
  <c r="D2" i="15"/>
  <c r="B3" i="12"/>
  <c r="C3" i="12"/>
  <c r="D3" i="12"/>
  <c r="E3" i="12"/>
  <c r="F3" i="12"/>
  <c r="G3" i="12"/>
  <c r="H3" i="12"/>
  <c r="I3" i="12"/>
  <c r="J3" i="12"/>
  <c r="K3" i="12"/>
  <c r="L3" i="12"/>
  <c r="M3" i="12"/>
  <c r="N3" i="12"/>
  <c r="B4" i="12"/>
  <c r="C4" i="12"/>
  <c r="D4" i="12"/>
  <c r="E4" i="12"/>
  <c r="F4" i="12"/>
  <c r="G4" i="12"/>
  <c r="H4" i="12"/>
  <c r="I4" i="12"/>
  <c r="J4" i="12"/>
  <c r="K4" i="12"/>
  <c r="L4" i="12"/>
  <c r="M4" i="12"/>
  <c r="N4" i="12"/>
  <c r="B5" i="12"/>
  <c r="C5" i="12"/>
  <c r="D5" i="12"/>
  <c r="E5" i="12"/>
  <c r="F5" i="12"/>
  <c r="G5" i="12"/>
  <c r="H5" i="12"/>
  <c r="I5" i="12"/>
  <c r="J5" i="12"/>
  <c r="K5" i="12"/>
  <c r="L5" i="12"/>
  <c r="M5" i="12"/>
  <c r="N5" i="12"/>
  <c r="B6" i="12"/>
  <c r="C6" i="12"/>
  <c r="D6" i="12"/>
  <c r="E6" i="12"/>
  <c r="F6" i="12"/>
  <c r="G6" i="12"/>
  <c r="H6" i="12"/>
  <c r="I6" i="12"/>
  <c r="J6" i="12"/>
  <c r="K6" i="12"/>
  <c r="L6" i="12"/>
  <c r="M6" i="12"/>
  <c r="N6" i="12"/>
  <c r="B7" i="12"/>
  <c r="C7" i="12"/>
  <c r="D7" i="12"/>
  <c r="E7" i="12"/>
  <c r="F7" i="12"/>
  <c r="G7" i="12"/>
  <c r="H7" i="12"/>
  <c r="I7" i="12"/>
  <c r="J7" i="12"/>
  <c r="K7" i="12"/>
  <c r="L7" i="12"/>
  <c r="M7" i="12"/>
  <c r="N7" i="12"/>
  <c r="B8" i="12"/>
  <c r="C8" i="12"/>
  <c r="D8" i="12"/>
  <c r="E8" i="12"/>
  <c r="F8" i="12"/>
  <c r="G8" i="12"/>
  <c r="H8" i="12"/>
  <c r="I8" i="12"/>
  <c r="J8" i="12"/>
  <c r="K8" i="12"/>
  <c r="L8" i="12"/>
  <c r="M8" i="12"/>
  <c r="N8" i="12"/>
  <c r="B9" i="12"/>
  <c r="C9" i="12"/>
  <c r="D9" i="12"/>
  <c r="E9" i="12"/>
  <c r="F9" i="12"/>
  <c r="G9" i="12"/>
  <c r="H9" i="12"/>
  <c r="I9" i="12"/>
  <c r="J9" i="12"/>
  <c r="K9" i="12"/>
  <c r="L9" i="12"/>
  <c r="M9" i="12"/>
  <c r="N9" i="12"/>
  <c r="B10" i="12"/>
  <c r="C10" i="12"/>
  <c r="D10" i="12"/>
  <c r="E10" i="12"/>
  <c r="F10" i="12"/>
  <c r="G10" i="12"/>
  <c r="H10" i="12"/>
  <c r="I10" i="12"/>
  <c r="J10" i="12"/>
  <c r="K10" i="12"/>
  <c r="L10" i="12"/>
  <c r="M10" i="12"/>
  <c r="N10" i="12"/>
  <c r="J2" i="12"/>
  <c r="C2" i="12"/>
  <c r="D2" i="12"/>
  <c r="E2" i="12"/>
  <c r="F2" i="12"/>
  <c r="G2" i="12"/>
  <c r="H2" i="12"/>
  <c r="I2" i="12"/>
  <c r="K2" i="12"/>
  <c r="L2" i="12"/>
  <c r="M2" i="12"/>
  <c r="N2" i="12"/>
  <c r="B2" i="12"/>
  <c r="G3" i="11"/>
  <c r="H3" i="11"/>
  <c r="I3" i="11"/>
  <c r="J3" i="11"/>
  <c r="K3" i="11"/>
  <c r="L3" i="11"/>
  <c r="M3" i="11"/>
  <c r="N3" i="11"/>
  <c r="G4" i="11"/>
  <c r="H4" i="11"/>
  <c r="I4" i="11"/>
  <c r="J4" i="11"/>
  <c r="K4" i="11"/>
  <c r="L4" i="11"/>
  <c r="M4" i="11"/>
  <c r="N4" i="11"/>
  <c r="G5" i="11"/>
  <c r="H5" i="11"/>
  <c r="I5" i="11"/>
  <c r="J5" i="11"/>
  <c r="K5" i="11"/>
  <c r="L5" i="11"/>
  <c r="M5" i="11"/>
  <c r="N5" i="11"/>
  <c r="G6" i="11"/>
  <c r="H6" i="11"/>
  <c r="I6" i="11"/>
  <c r="J6" i="11"/>
  <c r="K6" i="11"/>
  <c r="L6" i="11"/>
  <c r="M6" i="11"/>
  <c r="N6" i="11"/>
  <c r="G7" i="11"/>
  <c r="H7" i="11"/>
  <c r="I7" i="11"/>
  <c r="J7" i="11"/>
  <c r="K7" i="11"/>
  <c r="L7" i="11"/>
  <c r="M7" i="11"/>
  <c r="N7" i="11"/>
  <c r="G8" i="11"/>
  <c r="H8" i="11"/>
  <c r="I8" i="11"/>
  <c r="J8" i="11"/>
  <c r="K8" i="11"/>
  <c r="L8" i="11"/>
  <c r="M8" i="11"/>
  <c r="N8" i="11"/>
  <c r="G9" i="11"/>
  <c r="H9" i="11"/>
  <c r="I9" i="11"/>
  <c r="J9" i="11"/>
  <c r="K9" i="11"/>
  <c r="L9" i="11"/>
  <c r="M9" i="11"/>
  <c r="N9" i="11"/>
  <c r="J2" i="11"/>
  <c r="F2" i="11"/>
  <c r="G2" i="11"/>
  <c r="H2" i="11"/>
  <c r="I2" i="11"/>
  <c r="K2" i="11"/>
  <c r="L2" i="11"/>
  <c r="M2" i="11"/>
  <c r="N2" i="11"/>
  <c r="B3" i="11"/>
  <c r="C3" i="11"/>
  <c r="D3" i="11"/>
  <c r="E3" i="11"/>
  <c r="B4" i="11"/>
  <c r="C4" i="11"/>
  <c r="D4" i="11"/>
  <c r="E4" i="11"/>
  <c r="B5" i="11"/>
  <c r="C5" i="11"/>
  <c r="D5" i="11"/>
  <c r="E5" i="11"/>
  <c r="B6" i="11"/>
  <c r="C6" i="11"/>
  <c r="D6" i="11"/>
  <c r="E6" i="11"/>
  <c r="B7" i="11"/>
  <c r="C7" i="11"/>
  <c r="D7" i="11"/>
  <c r="E7" i="11"/>
  <c r="B8" i="11"/>
  <c r="C8" i="11"/>
  <c r="D8" i="11"/>
  <c r="E8" i="11"/>
  <c r="B9" i="11"/>
  <c r="C9" i="11"/>
  <c r="D9" i="11"/>
  <c r="E9" i="11"/>
  <c r="C2" i="11"/>
  <c r="D2" i="11"/>
  <c r="E2" i="11"/>
  <c r="B2" i="11"/>
  <c r="K164" i="10"/>
  <c r="Q164" i="10"/>
  <c r="B10" i="13" s="1"/>
  <c r="J164" i="10"/>
  <c r="B3" i="13" s="1"/>
  <c r="N164" i="10"/>
  <c r="O164" i="10"/>
  <c r="I164" i="10"/>
  <c r="M164" i="10"/>
  <c r="L164" i="10"/>
  <c r="P164" i="10"/>
  <c r="H164" i="10"/>
  <c r="B17" i="13" s="1"/>
  <c r="G164" i="10"/>
  <c r="B16" i="13" s="1"/>
  <c r="F164" i="10"/>
  <c r="B15" i="13" s="1"/>
  <c r="E164" i="10"/>
  <c r="B14" i="13" s="1"/>
  <c r="D163" i="10"/>
  <c r="D162" i="10"/>
  <c r="D161" i="10"/>
  <c r="D160" i="10"/>
  <c r="D159" i="10"/>
  <c r="D158" i="10"/>
  <c r="D157" i="10"/>
  <c r="D156" i="10"/>
  <c r="D155" i="10"/>
  <c r="D154" i="10"/>
  <c r="D153" i="10"/>
  <c r="D152" i="10"/>
  <c r="D151" i="10"/>
  <c r="D150" i="10"/>
  <c r="D149" i="10"/>
  <c r="D148" i="10"/>
  <c r="D147" i="10"/>
  <c r="D146" i="10"/>
  <c r="D145" i="10"/>
  <c r="D144" i="10"/>
  <c r="D143" i="10"/>
  <c r="D142" i="10"/>
  <c r="D141" i="10"/>
  <c r="D140" i="10"/>
  <c r="D139" i="10"/>
  <c r="D138" i="10"/>
  <c r="D137" i="10"/>
  <c r="D136" i="10"/>
  <c r="D135" i="10"/>
  <c r="D134" i="10"/>
  <c r="D133" i="10"/>
  <c r="D132" i="10"/>
  <c r="D131" i="10"/>
  <c r="D130" i="10"/>
  <c r="D129" i="10"/>
  <c r="D128" i="10"/>
  <c r="D127" i="10"/>
  <c r="D126" i="10"/>
  <c r="D125" i="10"/>
  <c r="D124" i="10"/>
  <c r="D123" i="10"/>
  <c r="D122" i="10"/>
  <c r="D121" i="10"/>
  <c r="D120" i="10"/>
  <c r="D119" i="10"/>
  <c r="D118" i="10"/>
  <c r="D117" i="10"/>
  <c r="D116" i="10"/>
  <c r="D115" i="10"/>
  <c r="D114" i="10"/>
  <c r="D113" i="10"/>
  <c r="D112" i="10"/>
  <c r="D111" i="10"/>
  <c r="D110" i="10"/>
  <c r="D109" i="10"/>
  <c r="D108" i="10"/>
  <c r="D107" i="10"/>
  <c r="D106" i="10"/>
  <c r="D105" i="10"/>
  <c r="D104" i="10"/>
  <c r="D103" i="10"/>
  <c r="D102" i="10"/>
  <c r="D101" i="10"/>
  <c r="D100" i="10"/>
  <c r="D99" i="10"/>
  <c r="D98" i="10"/>
  <c r="D97" i="10"/>
  <c r="D96" i="10"/>
  <c r="D95" i="10"/>
  <c r="D94" i="10"/>
  <c r="D93" i="10"/>
  <c r="D92" i="10"/>
  <c r="D91" i="10"/>
  <c r="D90" i="10"/>
  <c r="D89" i="10"/>
  <c r="D88" i="10"/>
  <c r="D87" i="10"/>
  <c r="D86" i="10"/>
  <c r="D85" i="10"/>
  <c r="D84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50" i="10"/>
  <c r="D49" i="10"/>
  <c r="D48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3" i="10"/>
  <c r="D32" i="10"/>
  <c r="D31" i="10"/>
  <c r="D30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D11" i="10"/>
  <c r="D10" i="10"/>
  <c r="D9" i="10"/>
  <c r="D8" i="10"/>
  <c r="D7" i="10"/>
  <c r="D6" i="10"/>
  <c r="D5" i="10"/>
  <c r="D4" i="10"/>
  <c r="D3" i="10"/>
  <c r="D2" i="10"/>
  <c r="L5" i="13" l="1" a="1"/>
  <c r="L5" i="13" s="1"/>
  <c r="L8" i="13" a="1"/>
  <c r="L8" i="13" s="1"/>
  <c r="L4" i="13" a="1"/>
  <c r="L4" i="13" s="1"/>
  <c r="L2" i="13" a="1"/>
  <c r="L2" i="13" s="1"/>
  <c r="L9" i="13" a="1"/>
  <c r="L9" i="13" s="1"/>
  <c r="L7" i="13" a="1"/>
  <c r="L7" i="13" s="1"/>
  <c r="L6" i="13" a="1"/>
  <c r="L6" i="13" s="1"/>
  <c r="L3" i="13" a="1"/>
  <c r="L3" i="13" s="1"/>
  <c r="B25" i="13"/>
  <c r="K3" i="13" a="1"/>
  <c r="K3" i="13" s="1"/>
  <c r="K7" i="13" a="1"/>
  <c r="K7" i="13" s="1"/>
  <c r="K4" i="13" a="1"/>
  <c r="K4" i="13" s="1"/>
  <c r="K5" i="13" a="1"/>
  <c r="K5" i="13" s="1"/>
  <c r="K6" i="13" a="1"/>
  <c r="K6" i="13" s="1"/>
  <c r="K9" i="13" a="1"/>
  <c r="K9" i="13" s="1"/>
  <c r="K8" i="13" a="1"/>
  <c r="K8" i="13" s="1"/>
  <c r="K2" i="13" a="1"/>
  <c r="K2" i="13" s="1"/>
  <c r="I5" i="13" a="1"/>
  <c r="I5" i="13" s="1"/>
  <c r="I4" i="13" a="1"/>
  <c r="I4" i="13" s="1"/>
  <c r="I6" i="13" a="1"/>
  <c r="I6" i="13" s="1"/>
  <c r="I7" i="13" a="1"/>
  <c r="I7" i="13" s="1"/>
  <c r="I2" i="13" a="1"/>
  <c r="I2" i="13" s="1"/>
  <c r="I8" i="13" a="1"/>
  <c r="I8" i="13" s="1"/>
  <c r="I9" i="13" a="1"/>
  <c r="I9" i="13" s="1"/>
  <c r="I3" i="13" a="1"/>
  <c r="I3" i="13" s="1"/>
  <c r="H3" i="13" a="1"/>
  <c r="H3" i="13" s="1"/>
  <c r="G2" i="13" a="1"/>
  <c r="G2" i="13" s="1"/>
  <c r="H2" i="13" a="1"/>
  <c r="H2" i="13" s="1"/>
  <c r="G5" i="13" a="1"/>
  <c r="G5" i="13" s="1"/>
  <c r="G9" i="13" a="1"/>
  <c r="G9" i="13" s="1"/>
  <c r="H4" i="13" a="1"/>
  <c r="H4" i="13" s="1"/>
  <c r="G4" i="13" a="1"/>
  <c r="G4" i="13" s="1"/>
  <c r="H5" i="13" a="1"/>
  <c r="H5" i="13" s="1"/>
  <c r="G6" i="13" a="1"/>
  <c r="G6" i="13" s="1"/>
  <c r="H6" i="13" a="1"/>
  <c r="H6" i="13" s="1"/>
  <c r="H7" i="13" a="1"/>
  <c r="H7" i="13" s="1"/>
  <c r="H8" i="13" a="1"/>
  <c r="H8" i="13" s="1"/>
  <c r="G3" i="13" a="1"/>
  <c r="G3" i="13" s="1"/>
  <c r="H9" i="13" a="1"/>
  <c r="H9" i="13" s="1"/>
  <c r="G7" i="13" a="1"/>
  <c r="G7" i="13" s="1"/>
  <c r="G8" i="13" a="1"/>
  <c r="G8" i="13" s="1"/>
  <c r="J2" i="13" a="1"/>
  <c r="J2" i="13" s="1"/>
  <c r="J6" i="13" a="1"/>
  <c r="J6" i="13" s="1"/>
  <c r="J8" i="13" a="1"/>
  <c r="J8" i="13" s="1"/>
  <c r="J9" i="13" a="1"/>
  <c r="J9" i="13" s="1"/>
  <c r="J5" i="13" a="1"/>
  <c r="J5" i="13" s="1"/>
  <c r="J7" i="13" a="1"/>
  <c r="J7" i="13" s="1"/>
  <c r="O7" i="13" s="1"/>
  <c r="J3" i="13" a="1"/>
  <c r="J3" i="13" s="1"/>
  <c r="O3" i="13" s="1"/>
  <c r="J4" i="13" a="1"/>
  <c r="J4" i="13" s="1"/>
  <c r="B23" i="13"/>
  <c r="B7" i="13"/>
  <c r="B24" i="13"/>
  <c r="B26" i="13"/>
  <c r="B2" i="13"/>
  <c r="B22" i="13"/>
  <c r="B20" i="13"/>
  <c r="B4" i="13"/>
  <c r="O21" i="12"/>
  <c r="P21" i="12" s="1"/>
  <c r="B18" i="13"/>
  <c r="B9" i="13"/>
  <c r="C22" i="13"/>
  <c r="B19" i="13"/>
  <c r="C4" i="13" s="1"/>
  <c r="B5" i="13"/>
  <c r="B6" i="13"/>
  <c r="B8" i="13"/>
  <c r="J9" i="19" a="1"/>
  <c r="J9" i="19" s="1"/>
  <c r="J3" i="19" a="1"/>
  <c r="J3" i="19" s="1"/>
  <c r="J2" i="19" a="1"/>
  <c r="J2" i="19" s="1"/>
  <c r="J4" i="19" a="1"/>
  <c r="J4" i="19" s="1"/>
  <c r="J6" i="19" a="1"/>
  <c r="J6" i="19" s="1"/>
  <c r="J7" i="19" a="1"/>
  <c r="J7" i="19" s="1"/>
  <c r="J8" i="19" a="1"/>
  <c r="J8" i="19" s="1"/>
  <c r="J5" i="19" a="1"/>
  <c r="J5" i="19" s="1"/>
  <c r="B5" i="19"/>
  <c r="L7" i="19" a="1"/>
  <c r="L7" i="19" s="1"/>
  <c r="L8" i="19" a="1"/>
  <c r="L8" i="19" s="1"/>
  <c r="L2" i="19" a="1"/>
  <c r="L2" i="19" s="1"/>
  <c r="L9" i="19" a="1"/>
  <c r="L9" i="19" s="1"/>
  <c r="L4" i="19" a="1"/>
  <c r="L4" i="19" s="1"/>
  <c r="L5" i="19" a="1"/>
  <c r="L5" i="19" s="1"/>
  <c r="L3" i="19" a="1"/>
  <c r="L3" i="19" s="1"/>
  <c r="L6" i="19" a="1"/>
  <c r="L6" i="19" s="1"/>
  <c r="K3" i="19" a="1"/>
  <c r="K3" i="19" s="1"/>
  <c r="K2" i="19" a="1"/>
  <c r="K2" i="19" s="1"/>
  <c r="K4" i="19" a="1"/>
  <c r="K4" i="19" s="1"/>
  <c r="K5" i="19" a="1"/>
  <c r="K5" i="19" s="1"/>
  <c r="K8" i="19" a="1"/>
  <c r="K8" i="19" s="1"/>
  <c r="K9" i="19" a="1"/>
  <c r="K9" i="19" s="1"/>
  <c r="K6" i="19" a="1"/>
  <c r="K6" i="19" s="1"/>
  <c r="K7" i="19" a="1"/>
  <c r="K7" i="19" s="1"/>
  <c r="I8" i="19" a="1"/>
  <c r="I8" i="19" s="1"/>
  <c r="I6" i="19" a="1"/>
  <c r="I6" i="19" s="1"/>
  <c r="I2" i="19" a="1"/>
  <c r="I2" i="19" s="1"/>
  <c r="I3" i="19" a="1"/>
  <c r="I3" i="19" s="1"/>
  <c r="I7" i="19" a="1"/>
  <c r="I7" i="19" s="1"/>
  <c r="I4" i="19" a="1"/>
  <c r="I4" i="19" s="1"/>
  <c r="I5" i="19" a="1"/>
  <c r="I5" i="19" s="1"/>
  <c r="I9" i="19" a="1"/>
  <c r="I9" i="19" s="1"/>
  <c r="H7" i="19" a="1"/>
  <c r="H7" i="19" s="1"/>
  <c r="H2" i="19" a="1"/>
  <c r="H2" i="19" s="1"/>
  <c r="G2" i="19" a="1"/>
  <c r="G2" i="19" s="1"/>
  <c r="G3" i="19" a="1"/>
  <c r="G3" i="19" s="1"/>
  <c r="G5" i="19" a="1"/>
  <c r="G5" i="19" s="1"/>
  <c r="H4" i="19" a="1"/>
  <c r="H4" i="19" s="1"/>
  <c r="H5" i="19" a="1"/>
  <c r="H5" i="19" s="1"/>
  <c r="H9" i="19" a="1"/>
  <c r="H9" i="19" s="1"/>
  <c r="G7" i="19" a="1"/>
  <c r="G7" i="19" s="1"/>
  <c r="H6" i="19" a="1"/>
  <c r="H6" i="19" s="1"/>
  <c r="H8" i="19" a="1"/>
  <c r="H8" i="19" s="1"/>
  <c r="G4" i="19" a="1"/>
  <c r="G4" i="19" s="1"/>
  <c r="G8" i="19" a="1"/>
  <c r="G8" i="19" s="1"/>
  <c r="G6" i="19" a="1"/>
  <c r="G6" i="19" s="1"/>
  <c r="G9" i="19" a="1"/>
  <c r="G9" i="19" s="1"/>
  <c r="H3" i="19" a="1"/>
  <c r="H3" i="19" s="1"/>
  <c r="B22" i="19"/>
  <c r="B2" i="19"/>
  <c r="O19" i="17"/>
  <c r="P19" i="17" s="1"/>
  <c r="B19" i="19"/>
  <c r="B16" i="19"/>
  <c r="B24" i="19"/>
  <c r="D24" i="19" s="1"/>
  <c r="B4" i="19"/>
  <c r="B26" i="19"/>
  <c r="B7" i="19"/>
  <c r="B25" i="19"/>
  <c r="D25" i="19" s="1"/>
  <c r="B6" i="19"/>
  <c r="B23" i="19"/>
  <c r="D23" i="19" s="1"/>
  <c r="B3" i="19"/>
  <c r="O19" i="11"/>
  <c r="P19" i="11" s="1"/>
  <c r="M11" i="12"/>
  <c r="L11" i="12"/>
  <c r="K11" i="12"/>
  <c r="G11" i="12"/>
  <c r="F11" i="12"/>
  <c r="E11" i="12"/>
  <c r="H11" i="12"/>
  <c r="C11" i="12"/>
  <c r="B11" i="12"/>
  <c r="I11" i="12"/>
  <c r="D11" i="12"/>
  <c r="J11" i="12"/>
  <c r="N11" i="12"/>
  <c r="O21" i="18"/>
  <c r="P21" i="18"/>
  <c r="O10" i="17"/>
  <c r="P10" i="17" s="1"/>
  <c r="B18" i="19"/>
  <c r="B15" i="19"/>
  <c r="O11" i="18"/>
  <c r="P11" i="18" s="1"/>
  <c r="P2" i="17"/>
  <c r="G19" i="14" s="1"/>
  <c r="O7" i="11"/>
  <c r="P7" i="11" s="1"/>
  <c r="O3" i="12"/>
  <c r="P3" i="12" s="1"/>
  <c r="F10" i="11"/>
  <c r="J10" i="11"/>
  <c r="O9" i="12"/>
  <c r="P9" i="12" s="1"/>
  <c r="O7" i="12"/>
  <c r="P7" i="12" s="1"/>
  <c r="O3" i="11"/>
  <c r="P3" i="11" s="1"/>
  <c r="O6" i="12"/>
  <c r="P6" i="12" s="1"/>
  <c r="K10" i="11"/>
  <c r="I10" i="11"/>
  <c r="O2" i="12"/>
  <c r="O10" i="12"/>
  <c r="P10" i="12" s="1"/>
  <c r="H10" i="11"/>
  <c r="G10" i="11"/>
  <c r="O5" i="12"/>
  <c r="P5" i="12" s="1"/>
  <c r="O4" i="12"/>
  <c r="P4" i="12" s="1"/>
  <c r="O8" i="12"/>
  <c r="P8" i="12" s="1"/>
  <c r="E10" i="11"/>
  <c r="O8" i="11"/>
  <c r="P8" i="11" s="1"/>
  <c r="N10" i="11"/>
  <c r="B10" i="11"/>
  <c r="L10" i="11"/>
  <c r="D10" i="11"/>
  <c r="M10" i="11"/>
  <c r="O6" i="11"/>
  <c r="P6" i="11" s="1"/>
  <c r="C10" i="11"/>
  <c r="O9" i="11"/>
  <c r="P9" i="11" s="1"/>
  <c r="O2" i="11"/>
  <c r="P2" i="11" s="1"/>
  <c r="O5" i="11"/>
  <c r="P5" i="11" s="1"/>
  <c r="O4" i="11"/>
  <c r="P4" i="11" s="1"/>
  <c r="D22" i="19" l="1"/>
  <c r="M9" i="19"/>
  <c r="P9" i="19"/>
  <c r="M5" i="19"/>
  <c r="O5" i="19"/>
  <c r="Q8" i="19"/>
  <c r="N8" i="19"/>
  <c r="M4" i="19"/>
  <c r="O8" i="19"/>
  <c r="P8" i="19"/>
  <c r="O4" i="19"/>
  <c r="N9" i="19"/>
  <c r="Q6" i="19"/>
  <c r="O9" i="19"/>
  <c r="M8" i="19"/>
  <c r="M6" i="19"/>
  <c r="N6" i="19"/>
  <c r="P6" i="19"/>
  <c r="P4" i="19"/>
  <c r="P5" i="19"/>
  <c r="O6" i="19"/>
  <c r="P7" i="19"/>
  <c r="P3" i="19"/>
  <c r="N5" i="19"/>
  <c r="Q3" i="19"/>
  <c r="N4" i="19"/>
  <c r="Q5" i="19"/>
  <c r="O3" i="19"/>
  <c r="M3" i="19"/>
  <c r="C3" i="19"/>
  <c r="N7" i="19"/>
  <c r="Q4" i="19"/>
  <c r="Q7" i="19"/>
  <c r="O7" i="19"/>
  <c r="M7" i="19"/>
  <c r="N3" i="19"/>
  <c r="Q9" i="19"/>
  <c r="P6" i="13"/>
  <c r="O6" i="13"/>
  <c r="M3" i="13"/>
  <c r="Q3" i="13"/>
  <c r="N6" i="13"/>
  <c r="Q2" i="13"/>
  <c r="P3" i="13"/>
  <c r="N3" i="13"/>
  <c r="P9" i="13"/>
  <c r="N9" i="13"/>
  <c r="N2" i="13"/>
  <c r="Q7" i="13"/>
  <c r="M2" i="13"/>
  <c r="M9" i="13"/>
  <c r="N8" i="13"/>
  <c r="Q6" i="13"/>
  <c r="M8" i="13"/>
  <c r="N7" i="13"/>
  <c r="Q9" i="13"/>
  <c r="P8" i="13"/>
  <c r="N4" i="13"/>
  <c r="Q4" i="13"/>
  <c r="M4" i="13"/>
  <c r="O5" i="13"/>
  <c r="O9" i="13"/>
  <c r="O8" i="13"/>
  <c r="O2" i="13"/>
  <c r="M7" i="13"/>
  <c r="N5" i="13"/>
  <c r="Q8" i="13"/>
  <c r="P5" i="13"/>
  <c r="P4" i="13"/>
  <c r="P7" i="13"/>
  <c r="M6" i="13"/>
  <c r="C23" i="13"/>
  <c r="O4" i="13"/>
  <c r="M5" i="13"/>
  <c r="P2" i="13"/>
  <c r="Q5" i="13"/>
  <c r="G10" i="13"/>
  <c r="J10" i="13"/>
  <c r="I10" i="13"/>
  <c r="H10" i="13"/>
  <c r="L10" i="13"/>
  <c r="K10" i="13"/>
  <c r="C24" i="13"/>
  <c r="C25" i="13"/>
  <c r="C26" i="13"/>
  <c r="C8" i="13"/>
  <c r="C6" i="13"/>
  <c r="C5" i="13"/>
  <c r="C9" i="13"/>
  <c r="C3" i="13"/>
  <c r="C10" i="13"/>
  <c r="C7" i="13"/>
  <c r="C2" i="13"/>
  <c r="M2" i="19"/>
  <c r="H10" i="19"/>
  <c r="K10" i="19"/>
  <c r="P2" i="19"/>
  <c r="I10" i="19"/>
  <c r="N2" i="19"/>
  <c r="G10" i="19"/>
  <c r="O2" i="19"/>
  <c r="J10" i="19"/>
  <c r="Q2" i="19"/>
  <c r="L10" i="19"/>
  <c r="B20" i="19"/>
  <c r="P2" i="12"/>
  <c r="O11" i="12"/>
  <c r="P11" i="12" s="1"/>
  <c r="O10" i="11"/>
  <c r="P10" i="11" s="1"/>
  <c r="C23" i="19" l="1"/>
  <c r="C9" i="19"/>
  <c r="C8" i="19"/>
  <c r="C10" i="19"/>
  <c r="C2" i="19"/>
  <c r="C6" i="19"/>
  <c r="C4" i="19"/>
  <c r="C5" i="19"/>
  <c r="C7" i="19"/>
  <c r="C22" i="19"/>
  <c r="C24" i="19"/>
  <c r="C25" i="19"/>
  <c r="C26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<sst xmlns="http://schemas.openxmlformats.org/spreadsheetml/2006/main" count="1134" uniqueCount="106">
  <si>
    <t>Success</t>
    <phoneticPr fontId="1" type="noConversion"/>
  </si>
  <si>
    <t>No poses generated</t>
    <phoneticPr fontId="1" type="noConversion"/>
  </si>
  <si>
    <t>Gripper stuck in foam</t>
    <phoneticPr fontId="1" type="noConversion"/>
  </si>
  <si>
    <t>Position</t>
    <phoneticPr fontId="1" type="noConversion"/>
  </si>
  <si>
    <t>Orientation</t>
    <phoneticPr fontId="1" type="noConversion"/>
  </si>
  <si>
    <t>Trial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</si>
  <si>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</si>
  <si>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</si>
  <si>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</si>
  <si>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</si>
  <si>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</si>
  <si>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</si>
  <si>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</si>
  <si>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</si>
  <si>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</si>
  <si>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Name</t>
    <phoneticPr fontId="1" type="noConversion"/>
  </si>
  <si>
    <t>Success after intervention</t>
    <phoneticPr fontId="1" type="noConversion"/>
  </si>
  <si>
    <t>Failed</t>
    <phoneticPr fontId="1" type="noConversion"/>
  </si>
  <si>
    <t>Grasp in opposite direction</t>
    <phoneticPr fontId="1" type="noConversion"/>
  </si>
  <si>
    <t>Object fell during turning around</t>
    <phoneticPr fontId="1" type="noConversion"/>
  </si>
  <si>
    <t>No poses generated because of noise</t>
    <phoneticPr fontId="1" type="noConversion"/>
  </si>
  <si>
    <t>Success if further action were taken</t>
    <phoneticPr fontId="1" type="noConversion"/>
  </si>
  <si>
    <t>Placement not good</t>
    <phoneticPr fontId="1" type="noConversion"/>
  </si>
  <si>
    <t>Possible collision between links</t>
    <phoneticPr fontId="1" type="noConversion"/>
  </si>
  <si>
    <t>ð</t>
    <phoneticPr fontId="1" type="noConversion"/>
  </si>
  <si>
    <t>ï</t>
    <phoneticPr fontId="1" type="noConversion"/>
  </si>
  <si>
    <t>ñ</t>
    <phoneticPr fontId="1" type="noConversion"/>
  </si>
  <si>
    <t>ò</t>
    <phoneticPr fontId="1" type="noConversion"/>
  </si>
  <si>
    <t>ö</t>
    <phoneticPr fontId="1" type="noConversion"/>
  </si>
  <si>
    <t>÷</t>
    <phoneticPr fontId="1" type="noConversion"/>
  </si>
  <si>
    <t>õ</t>
    <phoneticPr fontId="1" type="noConversion"/>
  </si>
  <si>
    <t>ø</t>
    <phoneticPr fontId="1" type="noConversion"/>
  </si>
  <si>
    <t>Trails</t>
    <phoneticPr fontId="1" type="noConversion"/>
  </si>
  <si>
    <t>Trials</t>
    <phoneticPr fontId="1" type="noConversion"/>
  </si>
  <si>
    <t>Success rate(S+PS)</t>
    <phoneticPr fontId="1" type="noConversion"/>
  </si>
  <si>
    <t>SUM</t>
    <phoneticPr fontId="1" type="noConversion"/>
  </si>
  <si>
    <t>UR10e</t>
    <phoneticPr fontId="1" type="noConversion"/>
  </si>
  <si>
    <t>sum</t>
    <phoneticPr fontId="1" type="noConversion"/>
  </si>
  <si>
    <t>Failed trails (PF+F)</t>
    <phoneticPr fontId="1" type="noConversion"/>
  </si>
  <si>
    <t>Failure reason</t>
    <phoneticPr fontId="1" type="noConversion"/>
  </si>
  <si>
    <t>Percentage</t>
    <phoneticPr fontId="1" type="noConversion"/>
  </si>
  <si>
    <t>Count</t>
    <phoneticPr fontId="1" type="noConversion"/>
  </si>
  <si>
    <t>Example</t>
    <phoneticPr fontId="1" type="noConversion"/>
  </si>
  <si>
    <t>(-0.7, 0.0, 0.131)</t>
    <phoneticPr fontId="1" type="noConversion"/>
  </si>
  <si>
    <t>pcd_bound_x</t>
    <phoneticPr fontId="1" type="noConversion"/>
  </si>
  <si>
    <t>(-0.3,0.4)</t>
    <phoneticPr fontId="1" type="noConversion"/>
  </si>
  <si>
    <t>pcd_bound_y</t>
    <phoneticPr fontId="1" type="noConversion"/>
  </si>
  <si>
    <t>pcd_bound_z</t>
    <phoneticPr fontId="1" type="noConversion"/>
  </si>
  <si>
    <t>(-0.01,0.3)</t>
    <phoneticPr fontId="1" type="noConversion"/>
  </si>
  <si>
    <t>agv_table_center_link
grasp_x_offset, _y_offset, _z_offset</t>
    <phoneticPr fontId="1" type="noConversion"/>
  </si>
  <si>
    <t>graspness_th</t>
    <phoneticPr fontId="1" type="noConversion"/>
  </si>
  <si>
    <t>grasp_height_th</t>
    <phoneticPr fontId="1" type="noConversion"/>
  </si>
  <si>
    <t>grasp_cog_min_dist_th</t>
    <phoneticPr fontId="1" type="noConversion"/>
  </si>
  <si>
    <t>cog_axis_projection_th</t>
    <phoneticPr fontId="1" type="noConversion"/>
  </si>
  <si>
    <t>t0_to_tcp joint</t>
    <phoneticPr fontId="1" type="noConversion"/>
  </si>
  <si>
    <t>reset_pose.position.x</t>
    <phoneticPr fontId="1" type="noConversion"/>
  </si>
  <si>
    <t>reset_pose.position.y</t>
    <phoneticPr fontId="1" type="noConversion"/>
  </si>
  <si>
    <t>reset_pose.position.z</t>
    <phoneticPr fontId="1" type="noConversion"/>
  </si>
  <si>
    <t>reset_pose.orientation.x</t>
    <phoneticPr fontId="1" type="noConversion"/>
  </si>
  <si>
    <t>reset_pose.orientation.y</t>
    <phoneticPr fontId="1" type="noConversion"/>
  </si>
  <si>
    <t>reset_pose.orientation.z</t>
    <phoneticPr fontId="1" type="noConversion"/>
  </si>
  <si>
    <t>reset_pose.orientation.w</t>
    <phoneticPr fontId="1" type="noConversion"/>
  </si>
  <si>
    <t>Grasp too loose</t>
    <phoneticPr fontId="1" type="noConversion"/>
  </si>
  <si>
    <t>Gripper stuck in foam</t>
  </si>
  <si>
    <t>05.06.2026</t>
    <phoneticPr fontId="1" type="noConversion"/>
  </si>
  <si>
    <t>(-0.4,0.4)</t>
    <phoneticPr fontId="1" type="noConversion"/>
  </si>
  <si>
    <t>xyz=(0,0,0.25)</t>
    <phoneticPr fontId="1" type="noConversion"/>
  </si>
  <si>
    <t>grasp_cog_max_dist_th</t>
    <phoneticPr fontId="1" type="noConversion"/>
  </si>
  <si>
    <t>Grasp too close to the object</t>
    <phoneticPr fontId="1" type="noConversion"/>
  </si>
  <si>
    <t>Grasp point not good, potential failure</t>
    <phoneticPr fontId="1" type="noConversion"/>
  </si>
  <si>
    <t>Object not face out after placement</t>
    <phoneticPr fontId="1" type="noConversion"/>
  </si>
  <si>
    <t>Grasp aborted due to joint limits</t>
    <phoneticPr fontId="1" type="noConversion"/>
  </si>
  <si>
    <t>Grasp point too low, placement distant from holder</t>
    <phoneticPr fontId="1" type="noConversion"/>
  </si>
  <si>
    <t>Excluding Orient. 3,5,7</t>
    <phoneticPr fontId="1" type="noConversion"/>
  </si>
  <si>
    <t>Excluding Pos. B, E, H</t>
    <phoneticPr fontId="1" type="noConversion"/>
  </si>
  <si>
    <t>Excluding B, E, H</t>
    <phoneticPr fontId="1" type="noConversion"/>
  </si>
  <si>
    <t>F1: Grip force failure</t>
    <phoneticPr fontId="1" type="noConversion"/>
  </si>
  <si>
    <t>F2: No valid pose</t>
    <phoneticPr fontId="1" type="noConversion"/>
  </si>
  <si>
    <t>F3: Kinematic infeasibility</t>
    <phoneticPr fontId="1" type="noConversion"/>
  </si>
  <si>
    <t>F4: Orientation error</t>
    <phoneticPr fontId="1" type="noConversion"/>
  </si>
  <si>
    <t>F5: Manual intervention necessary</t>
    <phoneticPr fontId="1" type="noConversion"/>
  </si>
  <si>
    <t>Partially Success and Failed trails (PS+PF+F)</t>
    <phoneticPr fontId="1" type="noConversion"/>
  </si>
  <si>
    <t>F1</t>
    <phoneticPr fontId="1" type="noConversion"/>
  </si>
  <si>
    <t>F2</t>
    <phoneticPr fontId="1" type="noConversion"/>
  </si>
  <si>
    <t>F3</t>
    <phoneticPr fontId="1" type="noConversion"/>
  </si>
  <si>
    <t>F4</t>
    <phoneticPr fontId="1" type="noConversion"/>
  </si>
  <si>
    <t>Dominant</t>
    <phoneticPr fontId="1" type="noConversion"/>
  </si>
  <si>
    <t>F1/%</t>
    <phoneticPr fontId="1" type="noConversion"/>
  </si>
  <si>
    <t>F2/%</t>
    <phoneticPr fontId="1" type="noConversion"/>
  </si>
  <si>
    <t>F3/%</t>
    <phoneticPr fontId="1" type="noConversion"/>
  </si>
  <si>
    <t>F4/%</t>
    <phoneticPr fontId="1" type="noConversion"/>
  </si>
  <si>
    <t>F5/%</t>
    <phoneticPr fontId="1" type="noConversion"/>
  </si>
  <si>
    <t>F5</t>
    <phoneticPr fontId="1" type="noConversion"/>
  </si>
  <si>
    <t>PS+PS+F</t>
    <phoneticPr fontId="1" type="noConversion"/>
  </si>
  <si>
    <t>PF+F</t>
    <phoneticPr fontId="1" type="noConversion"/>
  </si>
  <si>
    <t>PS+PF+F</t>
    <phoneticPr fontId="1" type="noConversion"/>
  </si>
  <si>
    <t>Grasp point too high, placement needs manual adjustment</t>
  </si>
  <si>
    <t>Grasp point too high, placement needs manual adjustment</t>
    <phoneticPr fontId="1" type="noConversion"/>
  </si>
  <si>
    <t>Fell during turning around</t>
    <phoneticPr fontId="1" type="noConversion"/>
  </si>
  <si>
    <t>Grasp point too low, placement distant from holder</t>
  </si>
  <si>
    <t>11.06.2026</t>
    <phoneticPr fontId="1" type="noConversion"/>
  </si>
  <si>
    <t>22.06.2026</t>
    <phoneticPr fontId="1" type="noConversion"/>
  </si>
  <si>
    <t>Baseline1</t>
    <phoneticPr fontId="1" type="noConversion"/>
  </si>
  <si>
    <t>-</t>
    <phoneticPr fontId="1" type="noConversion"/>
  </si>
  <si>
    <t>Baseline2</t>
    <phoneticPr fontId="1" type="noConversion"/>
  </si>
  <si>
    <t>Final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</si>
</sst>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22"/>
      <color theme="1"/>
      <name val="Wingdings"/>
      <charset val="2"/>
    </font>
    <font>
      <b/>
      <sz val="11"/>
      <color theme="1"/>
      <name val="等线"/>
      <scheme val="minor"/>
    </font>
    <font>
      <sz val="8"/>
      <color theme="1"/>
      <name val="等线"/>
      <scheme val="minor"/>
    </font>
    <font>
      <sz val="11"/>
      <name val="等线"/>
      <family val="2"/>
      <charset val="134"/>
      <scheme val="minor"/>
    </font>
    <font>
      <sz val="11"/>
      <color theme="1"/>
      <name val="等线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89">
    <xf numFmtId="0" fontId="0" fillId="0" borderId="0" xfId="0">
      <alignment vertical="center"/>
    </xf>
    <xf numFmtId="0" fontId="0" fillId="0" borderId="4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0" fontId="0" fillId="0" borderId="0" xfId="0" applyNumberFormat="1">
      <alignment vertical="center"/>
    </xf>
    <xf numFmtId="10" fontId="0" fillId="0" borderId="0" xfId="0" applyNumberFormat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0" fillId="0" borderId="12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10" fontId="0" fillId="0" borderId="16" xfId="0" applyNumberFormat="1" applyBorder="1" applyAlignment="1">
      <alignment horizontal="center" vertical="center"/>
    </xf>
    <xf numFmtId="1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0" fontId="0" fillId="0" borderId="19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0" fontId="0" fillId="0" borderId="6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0" fillId="0" borderId="2" xfId="0" applyNumberFormat="1" applyBorder="1" applyAlignment="1">
      <alignment horizontal="center" vertical="center"/>
    </xf>
    <xf numFmtId="0" fontId="3" fillId="0" borderId="0" xfId="0" applyFont="1">
      <alignment vertical="center"/>
    </xf>
    <xf numFmtId="10" fontId="3" fillId="0" borderId="0" xfId="0" applyNumberFormat="1" applyFont="1">
      <alignment vertical="center"/>
    </xf>
    <xf numFmtId="0" fontId="0" fillId="2" borderId="0" xfId="0" applyFill="1">
      <alignment vertical="center"/>
    </xf>
    <xf numFmtId="0" fontId="0" fillId="2" borderId="13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10" fontId="0" fillId="2" borderId="16" xfId="0" applyNumberFormat="1" applyFill="1" applyBorder="1" applyAlignment="1">
      <alignment horizontal="center" vertical="center"/>
    </xf>
    <xf numFmtId="10" fontId="0" fillId="2" borderId="12" xfId="0" applyNumberFormat="1" applyFill="1" applyBorder="1" applyAlignment="1">
      <alignment horizontal="center" vertical="center"/>
    </xf>
    <xf numFmtId="10" fontId="0" fillId="2" borderId="17" xfId="0" applyNumberFormat="1" applyFill="1" applyBorder="1" applyAlignment="1">
      <alignment horizontal="center" vertical="center"/>
    </xf>
    <xf numFmtId="0" fontId="0" fillId="2" borderId="1" xfId="0" applyFill="1" applyBorder="1">
      <alignment vertical="center"/>
    </xf>
    <xf numFmtId="0" fontId="0" fillId="2" borderId="2" xfId="0" applyFill="1" applyBorder="1">
      <alignment vertical="center"/>
    </xf>
    <xf numFmtId="0" fontId="0" fillId="2" borderId="18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10" fontId="0" fillId="2" borderId="19" xfId="0" applyNumberFormat="1" applyFill="1" applyBorder="1" applyAlignment="1">
      <alignment horizontal="center" vertical="center"/>
    </xf>
    <xf numFmtId="10" fontId="0" fillId="2" borderId="20" xfId="0" applyNumberFormat="1" applyFill="1" applyBorder="1" applyAlignment="1">
      <alignment horizontal="center" vertical="center"/>
    </xf>
    <xf numFmtId="10" fontId="0" fillId="2" borderId="6" xfId="0" applyNumberFormat="1" applyFill="1" applyBorder="1" applyAlignment="1">
      <alignment horizontal="center" vertical="center"/>
    </xf>
    <xf numFmtId="0" fontId="0" fillId="3" borderId="0" xfId="0" applyFill="1">
      <alignment vertical="center"/>
    </xf>
    <xf numFmtId="0" fontId="0" fillId="0" borderId="10" xfId="0" applyBorder="1" applyAlignment="1">
      <alignment vertical="center" wrapText="1"/>
    </xf>
    <xf numFmtId="0" fontId="0" fillId="0" borderId="10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10" xfId="0" applyBorder="1">
      <alignment vertical="center"/>
    </xf>
    <xf numFmtId="0" fontId="4" fillId="0" borderId="10" xfId="0" applyFont="1" applyBorder="1">
      <alignment vertical="center"/>
    </xf>
    <xf numFmtId="0" fontId="5" fillId="4" borderId="0" xfId="0" applyFont="1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4" borderId="0" xfId="0" applyFill="1">
      <alignment vertical="center"/>
    </xf>
    <xf numFmtId="0" fontId="0" fillId="8" borderId="0" xfId="0" applyFill="1">
      <alignment vertical="center"/>
    </xf>
    <xf numFmtId="10" fontId="0" fillId="4" borderId="22" xfId="0" applyNumberFormat="1" applyFill="1" applyBorder="1">
      <alignment vertical="center"/>
    </xf>
    <xf numFmtId="10" fontId="0" fillId="5" borderId="23" xfId="0" applyNumberFormat="1" applyFill="1" applyBorder="1">
      <alignment vertical="center"/>
    </xf>
    <xf numFmtId="10" fontId="0" fillId="6" borderId="23" xfId="0" applyNumberFormat="1" applyFill="1" applyBorder="1">
      <alignment vertical="center"/>
    </xf>
    <xf numFmtId="10" fontId="0" fillId="7" borderId="23" xfId="0" applyNumberFormat="1" applyFill="1" applyBorder="1">
      <alignment vertical="center"/>
    </xf>
    <xf numFmtId="10" fontId="0" fillId="2" borderId="24" xfId="0" applyNumberFormat="1" applyFill="1" applyBorder="1">
      <alignment vertical="center"/>
    </xf>
    <xf numFmtId="10" fontId="0" fillId="4" borderId="25" xfId="0" applyNumberFormat="1" applyFill="1" applyBorder="1">
      <alignment vertical="center"/>
    </xf>
    <xf numFmtId="10" fontId="0" fillId="5" borderId="0" xfId="0" applyNumberFormat="1" applyFill="1">
      <alignment vertical="center"/>
    </xf>
    <xf numFmtId="10" fontId="0" fillId="6" borderId="0" xfId="0" applyNumberFormat="1" applyFill="1">
      <alignment vertical="center"/>
    </xf>
    <xf numFmtId="10" fontId="0" fillId="7" borderId="0" xfId="0" applyNumberFormat="1" applyFill="1">
      <alignment vertical="center"/>
    </xf>
    <xf numFmtId="10" fontId="0" fillId="2" borderId="21" xfId="0" applyNumberFormat="1" applyFill="1" applyBorder="1">
      <alignment vertical="center"/>
    </xf>
    <xf numFmtId="10" fontId="0" fillId="4" borderId="26" xfId="0" applyNumberFormat="1" applyFill="1" applyBorder="1">
      <alignment vertical="center"/>
    </xf>
    <xf numFmtId="10" fontId="0" fillId="5" borderId="27" xfId="0" applyNumberFormat="1" applyFill="1" applyBorder="1">
      <alignment vertical="center"/>
    </xf>
    <xf numFmtId="10" fontId="0" fillId="6" borderId="27" xfId="0" applyNumberFormat="1" applyFill="1" applyBorder="1">
      <alignment vertical="center"/>
    </xf>
    <xf numFmtId="10" fontId="0" fillId="7" borderId="27" xfId="0" applyNumberFormat="1" applyFill="1" applyBorder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0" borderId="24" xfId="0" applyBorder="1">
      <alignment vertical="center"/>
    </xf>
    <xf numFmtId="0" fontId="0" fillId="0" borderId="25" xfId="0" applyBorder="1">
      <alignment vertical="center"/>
    </xf>
    <xf numFmtId="0" fontId="0" fillId="0" borderId="21" xfId="0" applyBorder="1">
      <alignment vertical="center"/>
    </xf>
    <xf numFmtId="0" fontId="0" fillId="0" borderId="26" xfId="0" applyBorder="1">
      <alignment vertical="center"/>
    </xf>
    <xf numFmtId="0" fontId="0" fillId="0" borderId="27" xfId="0" applyBorder="1">
      <alignment vertical="center"/>
    </xf>
    <xf numFmtId="0" fontId="0" fillId="0" borderId="28" xfId="0" applyBorder="1">
      <alignment vertical="center"/>
    </xf>
    <xf numFmtId="10" fontId="3" fillId="4" borderId="25" xfId="0" applyNumberFormat="1" applyFont="1" applyFill="1" applyBorder="1">
      <alignment vertical="center"/>
    </xf>
    <xf numFmtId="10" fontId="3" fillId="6" borderId="0" xfId="0" applyNumberFormat="1" applyFont="1" applyFill="1">
      <alignment vertical="center"/>
    </xf>
    <xf numFmtId="10" fontId="3" fillId="2" borderId="21" xfId="0" applyNumberFormat="1" applyFont="1" applyFill="1" applyBorder="1">
      <alignment vertical="center"/>
    </xf>
    <xf numFmtId="10" fontId="3" fillId="2" borderId="28" xfId="0" applyNumberFormat="1" applyFont="1" applyFill="1" applyBorder="1">
      <alignment vertical="center"/>
    </xf>
    <xf numFmtId="10" fontId="6" fillId="6" borderId="0" xfId="0" applyNumberFormat="1" applyFont="1" applyFill="1">
      <alignment vertical="center"/>
    </xf>
    <xf numFmtId="10" fontId="6" fillId="2" borderId="21" xfId="0" applyNumberFormat="1" applyFont="1" applyFill="1" applyBorder="1">
      <alignment vertical="center"/>
    </xf>
    <xf numFmtId="10" fontId="6" fillId="2" borderId="28" xfId="0" applyNumberFormat="1" applyFont="1" applyFill="1" applyBorder="1">
      <alignment vertical="center"/>
    </xf>
    <xf numFmtId="10" fontId="3" fillId="4" borderId="26" xfId="0" applyNumberFormat="1" applyFont="1" applyFill="1" applyBorder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sum_fail_20260605!$B$1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sum_fail_20260605!$A$2:$A$10</c:f>
              <c:strCache>
                <c:ptCount val="9"/>
                <c:pt idx="0">
                  <c:v>Grasp too loose</c:v>
                </c:pt>
                <c:pt idx="1">
                  <c:v>Object fell during turning around</c:v>
                </c:pt>
                <c:pt idx="2">
                  <c:v>Gripper stuck in foam</c:v>
                </c:pt>
                <c:pt idx="3">
                  <c:v>No poses generated</c:v>
                </c:pt>
                <c:pt idx="4">
                  <c:v>No poses generated because of noise</c:v>
                </c:pt>
                <c:pt idx="5">
                  <c:v>Possible collision between links</c:v>
                </c:pt>
                <c:pt idx="6">
                  <c:v>Grasp in opposite direction</c:v>
                </c:pt>
                <c:pt idx="7">
                  <c:v>Grasp point not good, potential failure</c:v>
                </c:pt>
                <c:pt idx="8">
                  <c:v>Object not face out after placement</c:v>
                </c:pt>
              </c:strCache>
            </c:strRef>
          </c:cat>
          <c:val>
            <c:numRef>
              <c:f>sum_fail_20260605!$B$2:$B$10</c:f>
              <c:numCache>
                <c:formatCode>General</c:formatCode>
                <c:ptCount val="9"/>
                <c:pt idx="0">
                  <c:v>70</c:v>
                </c:pt>
                <c:pt idx="1">
                  <c:v>10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14</c:v>
                </c:pt>
                <c:pt idx="6">
                  <c:v>0</c:v>
                </c:pt>
                <c:pt idx="7">
                  <c:v>34</c:v>
                </c:pt>
                <c:pt idx="8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40-42FF-9C58-EC2115A5AC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60082432"/>
        <c:axId val="1160089152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sum_fail_20260605!$C$1</c15:sqref>
                        </c15:formulaRef>
                      </c:ext>
                    </c:extLst>
                    <c:strCache>
                      <c:ptCount val="1"/>
                      <c:pt idx="0">
                        <c:v>Percentage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sum_fail_20260605!$A$2:$A$10</c15:sqref>
                        </c15:formulaRef>
                      </c:ext>
                    </c:extLst>
                    <c:strCache>
                      <c:ptCount val="9"/>
                      <c:pt idx="0">
                        <c:v>Grasp too loose</c:v>
                      </c:pt>
                      <c:pt idx="1">
                        <c:v>Object fell during turning around</c:v>
                      </c:pt>
                      <c:pt idx="2">
                        <c:v>Gripper stuck in foam</c:v>
                      </c:pt>
                      <c:pt idx="3">
                        <c:v>No poses generated</c:v>
                      </c:pt>
                      <c:pt idx="4">
                        <c:v>No poses generated because of noise</c:v>
                      </c:pt>
                      <c:pt idx="5">
                        <c:v>Possible collision between links</c:v>
                      </c:pt>
                      <c:pt idx="6">
                        <c:v>Grasp in opposite direction</c:v>
                      </c:pt>
                      <c:pt idx="7">
                        <c:v>Grasp point not good, potential failure</c:v>
                      </c:pt>
                      <c:pt idx="8">
                        <c:v>Object not face out after placement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sum_fail_20260605!$C$2:$C$10</c15:sqref>
                        </c15:formulaRef>
                      </c:ext>
                    </c:extLst>
                    <c:numCache>
                      <c:formatCode>0.00%</c:formatCode>
                      <c:ptCount val="9"/>
                      <c:pt idx="0">
                        <c:v>0.72164948453608246</c:v>
                      </c:pt>
                      <c:pt idx="1">
                        <c:v>0.10309278350515463</c:v>
                      </c:pt>
                      <c:pt idx="2">
                        <c:v>2.0618556701030927E-2</c:v>
                      </c:pt>
                      <c:pt idx="3">
                        <c:v>1.0309278350515464E-2</c:v>
                      </c:pt>
                      <c:pt idx="4">
                        <c:v>0</c:v>
                      </c:pt>
                      <c:pt idx="5">
                        <c:v>0.14432989690721648</c:v>
                      </c:pt>
                      <c:pt idx="6">
                        <c:v>0</c:v>
                      </c:pt>
                      <c:pt idx="7">
                        <c:v>0.35051546391752575</c:v>
                      </c:pt>
                      <c:pt idx="8">
                        <c:v>6.1855670103092786E-2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6A40-42FF-9C58-EC2115A5AC58}"/>
                  </c:ext>
                </c:extLst>
              </c15:ser>
            </c15:filteredBarSeries>
          </c:ext>
        </c:extLst>
      </c:barChart>
      <c:catAx>
        <c:axId val="11600824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60089152"/>
        <c:crosses val="autoZero"/>
        <c:auto val="1"/>
        <c:lblAlgn val="ctr"/>
        <c:lblOffset val="100"/>
        <c:noMultiLvlLbl val="0"/>
      </c:catAx>
      <c:valAx>
        <c:axId val="1160089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60082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sum_fail_20260611!$B$1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sum_fail_20260611!$A$2:$A$10</c:f>
              <c:strCache>
                <c:ptCount val="9"/>
                <c:pt idx="0">
                  <c:v>Grasp too loose</c:v>
                </c:pt>
                <c:pt idx="1">
                  <c:v>No poses generated</c:v>
                </c:pt>
                <c:pt idx="2">
                  <c:v>Possible collision between links</c:v>
                </c:pt>
                <c:pt idx="3">
                  <c:v>Grasp aborted due to joint limits</c:v>
                </c:pt>
                <c:pt idx="4">
                  <c:v>Grasp in opposite direction</c:v>
                </c:pt>
                <c:pt idx="5">
                  <c:v>Grasp point not good, potential failure</c:v>
                </c:pt>
                <c:pt idx="6">
                  <c:v>Grasp too close to the object</c:v>
                </c:pt>
                <c:pt idx="7">
                  <c:v>Grasp point too low, placement distant from holder</c:v>
                </c:pt>
                <c:pt idx="8">
                  <c:v>Object not face out after placement</c:v>
                </c:pt>
              </c:strCache>
            </c:strRef>
          </c:cat>
          <c:val>
            <c:numRef>
              <c:f>sum_fail_20260611!$B$2:$B$10</c:f>
              <c:numCache>
                <c:formatCode>General</c:formatCode>
                <c:ptCount val="9"/>
                <c:pt idx="0">
                  <c:v>1</c:v>
                </c:pt>
                <c:pt idx="1">
                  <c:v>7</c:v>
                </c:pt>
                <c:pt idx="2">
                  <c:v>11</c:v>
                </c:pt>
                <c:pt idx="3">
                  <c:v>14</c:v>
                </c:pt>
                <c:pt idx="4">
                  <c:v>0</c:v>
                </c:pt>
                <c:pt idx="5">
                  <c:v>3</c:v>
                </c:pt>
                <c:pt idx="6">
                  <c:v>15</c:v>
                </c:pt>
                <c:pt idx="7">
                  <c:v>35</c:v>
                </c:pt>
                <c:pt idx="8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D8-4E02-B526-31B02880F6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60082432"/>
        <c:axId val="1160089152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sum_fail_20260611!$C$1</c15:sqref>
                        </c15:formulaRef>
                      </c:ext>
                    </c:extLst>
                    <c:strCache>
                      <c:ptCount val="1"/>
                      <c:pt idx="0">
                        <c:v>Percentage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sum_fail_20260611!$A$2:$A$10</c15:sqref>
                        </c15:formulaRef>
                      </c:ext>
                    </c:extLst>
                    <c:strCache>
                      <c:ptCount val="9"/>
                      <c:pt idx="0">
                        <c:v>Grasp too loose</c:v>
                      </c:pt>
                      <c:pt idx="1">
                        <c:v>No poses generated</c:v>
                      </c:pt>
                      <c:pt idx="2">
                        <c:v>Possible collision between links</c:v>
                      </c:pt>
                      <c:pt idx="3">
                        <c:v>Grasp aborted due to joint limits</c:v>
                      </c:pt>
                      <c:pt idx="4">
                        <c:v>Grasp in opposite direction</c:v>
                      </c:pt>
                      <c:pt idx="5">
                        <c:v>Grasp point not good, potential failure</c:v>
                      </c:pt>
                      <c:pt idx="6">
                        <c:v>Grasp too close to the object</c:v>
                      </c:pt>
                      <c:pt idx="7">
                        <c:v>Grasp point too low, placement distant from holder</c:v>
                      </c:pt>
                      <c:pt idx="8">
                        <c:v>Object not face out after placement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sum_fail_20260611!$C$2:$C$10</c15:sqref>
                        </c15:formulaRef>
                      </c:ext>
                    </c:extLst>
                    <c:numCache>
                      <c:formatCode>0.00%</c:formatCode>
                      <c:ptCount val="9"/>
                      <c:pt idx="0">
                        <c:v>9.6153846153846159E-3</c:v>
                      </c:pt>
                      <c:pt idx="1">
                        <c:v>6.7307692307692304E-2</c:v>
                      </c:pt>
                      <c:pt idx="2">
                        <c:v>0.10576923076923077</c:v>
                      </c:pt>
                      <c:pt idx="3">
                        <c:v>0.13461538461538461</c:v>
                      </c:pt>
                      <c:pt idx="4">
                        <c:v>0</c:v>
                      </c:pt>
                      <c:pt idx="5">
                        <c:v>2.8846153846153848E-2</c:v>
                      </c:pt>
                      <c:pt idx="6">
                        <c:v>0.14423076923076922</c:v>
                      </c:pt>
                      <c:pt idx="7">
                        <c:v>0.33653846153846156</c:v>
                      </c:pt>
                      <c:pt idx="8">
                        <c:v>0.18269230769230768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97D8-4E02-B526-31B02880F698}"/>
                  </c:ext>
                </c:extLst>
              </c15:ser>
            </c15:filteredBarSeries>
          </c:ext>
        </c:extLst>
      </c:barChart>
      <c:catAx>
        <c:axId val="11600824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60089152"/>
        <c:crosses val="autoZero"/>
        <c:auto val="1"/>
        <c:lblAlgn val="ctr"/>
        <c:lblOffset val="100"/>
        <c:noMultiLvlLbl val="0"/>
      </c:catAx>
      <c:valAx>
        <c:axId val="1160089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60082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23812</xdr:colOff>
      <xdr:row>18</xdr:row>
      <xdr:rowOff>85725</xdr:rowOff>
    </xdr:from>
    <xdr:to>
      <xdr:col>14</xdr:col>
      <xdr:colOff>61912</xdr:colOff>
      <xdr:row>33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D3E7120-99F9-5CB4-7C38-F1A512330D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42861</xdr:colOff>
      <xdr:row>13</xdr:row>
      <xdr:rowOff>133350</xdr:rowOff>
    </xdr:from>
    <xdr:to>
      <xdr:col>17</xdr:col>
      <xdr:colOff>390524</xdr:colOff>
      <xdr:row>36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C3BC05-D447-4AFE-B89E-3C89F96A7A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abi\gogogo\KIT\Abschlussarbeit\result_self.xlsx" TargetMode="External"/><Relationship Id="rId1" Type="http://schemas.openxmlformats.org/officeDocument/2006/relationships/externalLinkPath" Target="file:///D:\Sabi\gogogo\KIT\Abschlussarbeit\result_sel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General"/>
      <sheetName val="Position"/>
      <sheetName val="Sheet4"/>
      <sheetName val="intro_20260526"/>
      <sheetName val="result_20260526"/>
      <sheetName val="sum_orient_20260526"/>
      <sheetName val="sum_pos_20260526"/>
      <sheetName val="sum_fail_20260526"/>
      <sheetName val="intro_20260605"/>
      <sheetName val="result_20260605"/>
      <sheetName val="sum_orient_20260605"/>
      <sheetName val="sum_pos_20260605"/>
      <sheetName val="sum_fail_2026060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2">
          <cell r="P2">
            <v>0.59259259259259256</v>
          </cell>
        </row>
        <row r="3">
          <cell r="P3">
            <v>7.407407407407407E-2</v>
          </cell>
        </row>
        <row r="4">
          <cell r="P4">
            <v>0</v>
          </cell>
        </row>
        <row r="5">
          <cell r="P5">
            <v>0.88888888888888884</v>
          </cell>
        </row>
        <row r="6">
          <cell r="P6">
            <v>0.3888888888888889</v>
          </cell>
        </row>
        <row r="7">
          <cell r="P7">
            <v>0.3888888888888889</v>
          </cell>
        </row>
        <row r="8">
          <cell r="P8">
            <v>0.22222222222222221</v>
          </cell>
        </row>
        <row r="9">
          <cell r="P9">
            <v>0.72222222222222221</v>
          </cell>
        </row>
      </sheetData>
      <sheetData sheetId="12">
        <row r="2">
          <cell r="P2">
            <v>0.45833333333333331</v>
          </cell>
        </row>
        <row r="3">
          <cell r="P3">
            <v>0.5</v>
          </cell>
        </row>
        <row r="4">
          <cell r="P4">
            <v>0.33333333333333331</v>
          </cell>
        </row>
        <row r="5">
          <cell r="P5">
            <v>0.375</v>
          </cell>
        </row>
        <row r="6">
          <cell r="P6">
            <v>0.5</v>
          </cell>
        </row>
        <row r="7">
          <cell r="P7">
            <v>0.5</v>
          </cell>
        </row>
        <row r="8">
          <cell r="P8">
            <v>0.33333333333333331</v>
          </cell>
        </row>
        <row r="9">
          <cell r="P9">
            <v>0.16666666666666666</v>
          </cell>
        </row>
        <row r="10">
          <cell r="P10">
            <v>0.41666666666666669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167F0-E038-422A-8F7B-3A4CF48CCE06}">
  <sheetPr>
    <tabColor theme="8" tint="0.79998168889431442"/>
  </sheetPr>
  <dimension ref="B3:O32"/>
  <sheetViews>
    <sheetView showGridLines="0" tabSelected="1" topLeftCell="A10" zoomScaleNormal="100" workbookViewId="0">
      <selection activeCell="G19" sqref="G19"/>
    </sheetView>
  </sheetViews>
  <sheetFormatPr defaultColWidth="15.625" defaultRowHeight="30" customHeight="1"/>
  <sheetData>
    <row r="3" spans="2:15" ht="30" customHeight="1" thickBot="1">
      <c r="B3" s="26" t="s">
        <v>42</v>
      </c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</row>
    <row r="4" spans="2:15" ht="30" customHeight="1">
      <c r="B4" s="26"/>
      <c r="C4" s="27" t="s">
        <v>6</v>
      </c>
      <c r="D4" s="28" t="s">
        <v>9</v>
      </c>
      <c r="E4" s="29" t="s">
        <v>12</v>
      </c>
      <c r="F4" s="26"/>
      <c r="G4" s="30">
        <v>1</v>
      </c>
      <c r="H4" s="31">
        <v>2</v>
      </c>
      <c r="I4" s="31">
        <v>3</v>
      </c>
      <c r="J4" s="31">
        <v>4</v>
      </c>
      <c r="K4" s="31">
        <v>5</v>
      </c>
      <c r="L4" s="31">
        <v>6</v>
      </c>
      <c r="M4" s="31">
        <v>7</v>
      </c>
      <c r="N4" s="32">
        <v>8</v>
      </c>
      <c r="O4" s="26"/>
    </row>
    <row r="5" spans="2:15" ht="30" customHeight="1">
      <c r="B5" s="26"/>
      <c r="C5" s="33"/>
      <c r="D5" s="34"/>
      <c r="E5" s="35"/>
      <c r="F5" s="26"/>
      <c r="G5" s="36"/>
      <c r="H5" s="26"/>
      <c r="I5" s="26"/>
      <c r="J5" s="26"/>
      <c r="K5" s="26"/>
      <c r="L5" s="26"/>
      <c r="M5" s="26"/>
      <c r="N5" s="37"/>
      <c r="O5" s="26"/>
    </row>
    <row r="6" spans="2:15" ht="30" customHeight="1" thickBot="1">
      <c r="B6" s="26"/>
      <c r="C6" s="38" t="s">
        <v>7</v>
      </c>
      <c r="D6" s="39" t="s">
        <v>10</v>
      </c>
      <c r="E6" s="40" t="s">
        <v>13</v>
      </c>
      <c r="F6" s="26"/>
      <c r="G6" s="41" t="s">
        <v>24</v>
      </c>
      <c r="H6" s="42" t="s">
        <v>25</v>
      </c>
      <c r="I6" s="42" t="s">
        <v>26</v>
      </c>
      <c r="J6" s="42" t="s">
        <v>27</v>
      </c>
      <c r="K6" s="42" t="s">
        <v>28</v>
      </c>
      <c r="L6" s="42" t="s">
        <v>29</v>
      </c>
      <c r="M6" s="42" t="s">
        <v>30</v>
      </c>
      <c r="N6" s="43" t="s">
        <v>31</v>
      </c>
      <c r="O6" s="26"/>
    </row>
    <row r="7" spans="2:15" ht="30" customHeight="1">
      <c r="B7" s="26"/>
      <c r="C7" s="33"/>
      <c r="D7" s="34"/>
      <c r="E7" s="35"/>
      <c r="F7" s="26"/>
      <c r="G7" s="26"/>
      <c r="H7" s="26"/>
      <c r="I7" s="26"/>
      <c r="J7" s="26"/>
      <c r="K7" s="26"/>
      <c r="L7" s="26"/>
      <c r="M7" s="26"/>
      <c r="N7" s="26"/>
      <c r="O7" s="26"/>
    </row>
    <row r="8" spans="2:15" ht="30" customHeight="1">
      <c r="B8" s="26"/>
      <c r="C8" s="38" t="s">
        <v>8</v>
      </c>
      <c r="D8" s="39" t="s">
        <v>11</v>
      </c>
      <c r="E8" s="40" t="s">
        <v>14</v>
      </c>
      <c r="F8" s="26"/>
      <c r="G8" s="26"/>
      <c r="H8" s="26"/>
      <c r="I8" s="26"/>
      <c r="J8" s="26"/>
      <c r="K8" s="26"/>
      <c r="L8" s="26"/>
      <c r="M8" s="26"/>
      <c r="N8" s="26"/>
      <c r="O8" s="26"/>
    </row>
    <row r="9" spans="2:15" ht="30" customHeight="1" thickBot="1">
      <c r="B9" s="26"/>
      <c r="C9" s="44"/>
      <c r="D9" s="45"/>
      <c r="E9" s="46"/>
      <c r="F9" s="26"/>
      <c r="G9" s="26"/>
      <c r="H9" s="26"/>
      <c r="I9" s="26"/>
      <c r="J9" s="26"/>
      <c r="K9" s="26"/>
      <c r="L9" s="26"/>
      <c r="M9" s="26"/>
      <c r="N9" s="26"/>
      <c r="O9" s="26"/>
    </row>
    <row r="10" spans="2:15" ht="30" customHeight="1"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</row>
    <row r="11" spans="2:15" s="47" customFormat="1" ht="14.25"/>
    <row r="12" spans="2:15" ht="60" customHeight="1">
      <c r="B12" s="50" t="s">
        <v>101</v>
      </c>
      <c r="C12" s="48" t="s">
        <v>49</v>
      </c>
      <c r="D12" s="48" t="s">
        <v>44</v>
      </c>
      <c r="E12" s="48" t="s">
        <v>46</v>
      </c>
      <c r="F12" s="48" t="s">
        <v>47</v>
      </c>
      <c r="G12" s="48" t="s">
        <v>50</v>
      </c>
      <c r="H12" s="48" t="s">
        <v>51</v>
      </c>
      <c r="I12" s="48" t="s">
        <v>67</v>
      </c>
      <c r="J12" s="48" t="s">
        <v>52</v>
      </c>
      <c r="K12" s="48" t="s">
        <v>53</v>
      </c>
      <c r="L12" s="48" t="s">
        <v>54</v>
      </c>
    </row>
    <row r="13" spans="2:15" ht="30" customHeight="1">
      <c r="B13" t="s">
        <v>102</v>
      </c>
      <c r="C13" s="49" t="s">
        <v>43</v>
      </c>
      <c r="D13" s="49" t="s">
        <v>45</v>
      </c>
      <c r="E13" s="49" t="s">
        <v>65</v>
      </c>
      <c r="F13" s="49" t="s">
        <v>48</v>
      </c>
      <c r="G13" s="49">
        <v>0.2</v>
      </c>
      <c r="H13" s="49">
        <v>2E-3</v>
      </c>
      <c r="I13" s="49" t="s">
        <v>103</v>
      </c>
      <c r="J13" s="49" t="s">
        <v>103</v>
      </c>
      <c r="K13" s="49" t="s">
        <v>103</v>
      </c>
      <c r="L13" s="51" t="s">
        <v>66</v>
      </c>
    </row>
    <row r="14" spans="2:15" ht="30" customHeight="1">
      <c r="C14" s="52" t="s">
        <v>55</v>
      </c>
      <c r="D14" s="52" t="s">
        <v>56</v>
      </c>
      <c r="E14" s="52" t="s">
        <v>57</v>
      </c>
      <c r="F14" s="52" t="s">
        <v>58</v>
      </c>
      <c r="G14" s="52" t="s">
        <v>59</v>
      </c>
      <c r="H14" s="52" t="s">
        <v>60</v>
      </c>
      <c r="I14" s="52" t="s">
        <v>61</v>
      </c>
    </row>
    <row r="15" spans="2:15" ht="30" customHeight="1">
      <c r="C15" s="51">
        <v>1.447416</v>
      </c>
      <c r="D15" s="51">
        <v>3.302368</v>
      </c>
      <c r="E15" s="51">
        <v>1.3658980000000001</v>
      </c>
      <c r="F15" s="51">
        <v>-9.5960000000000004E-3</v>
      </c>
      <c r="G15" s="51">
        <v>0.99959399999999998</v>
      </c>
      <c r="H15" s="51">
        <v>2.5939E-2</v>
      </c>
      <c r="I15" s="51">
        <v>-6.796E-3</v>
      </c>
    </row>
    <row r="17" spans="3:14" ht="30" customHeight="1" thickBot="1"/>
    <row r="18" spans="3:14" ht="30" customHeight="1" thickBot="1">
      <c r="D18" s="1" t="s">
        <v>36</v>
      </c>
      <c r="G18" s="5">
        <v>1</v>
      </c>
      <c r="H18" s="6">
        <v>2</v>
      </c>
      <c r="I18" s="6">
        <v>3</v>
      </c>
      <c r="J18" s="6">
        <v>4</v>
      </c>
      <c r="K18" s="6">
        <v>5</v>
      </c>
      <c r="L18" s="6">
        <v>6</v>
      </c>
      <c r="M18" s="6">
        <v>7</v>
      </c>
      <c r="N18" s="7">
        <v>8</v>
      </c>
    </row>
    <row r="19" spans="3:14" ht="30" customHeight="1" thickBot="1">
      <c r="G19" s="22">
        <f>sum_orient_20260622!Q2</f>
        <v>0.25925925925925924</v>
      </c>
      <c r="H19" s="9">
        <f>sum_orient_20260622!Q3</f>
        <v>0.18518518518518517</v>
      </c>
      <c r="I19" s="9">
        <f>sum_orient_20260622!Q4</f>
        <v>0</v>
      </c>
      <c r="J19" s="9">
        <f>sum_orient_20260622!Q5</f>
        <v>0</v>
      </c>
      <c r="K19" s="9">
        <f>sum_orient_20260622!Q6</f>
        <v>0.1111111111111111</v>
      </c>
      <c r="L19" s="9">
        <f>sum_orient_20260622!Q7</f>
        <v>0.22222222222222221</v>
      </c>
      <c r="M19" s="9">
        <f>sum_orient_20260622!Q8</f>
        <v>0</v>
      </c>
      <c r="N19" s="23">
        <f>sum_orient_20260622!Q9</f>
        <v>0.22222222222222221</v>
      </c>
    </row>
    <row r="20" spans="3:14" ht="30" customHeight="1" thickBot="1">
      <c r="C20" s="12" t="s">
        <v>6</v>
      </c>
      <c r="D20" s="13" t="s">
        <v>9</v>
      </c>
      <c r="E20" s="14" t="s">
        <v>12</v>
      </c>
      <c r="G20" s="2" t="s">
        <v>24</v>
      </c>
      <c r="H20" s="3" t="s">
        <v>25</v>
      </c>
      <c r="I20" s="3" t="s">
        <v>26</v>
      </c>
      <c r="J20" s="3" t="s">
        <v>27</v>
      </c>
      <c r="K20" s="3" t="s">
        <v>28</v>
      </c>
      <c r="L20" s="3" t="s">
        <v>29</v>
      </c>
      <c r="M20" s="3" t="s">
        <v>30</v>
      </c>
      <c r="N20" s="4" t="s">
        <v>31</v>
      </c>
    </row>
    <row r="21" spans="3:14" ht="30" customHeight="1">
      <c r="C21" s="15">
        <f>sum_pos_20260622!Q2</f>
        <v>0.16666666666666666</v>
      </c>
      <c r="D21" s="11">
        <f>sum_pos_20260622!Q5</f>
        <v>8.3333333333333329E-2</v>
      </c>
      <c r="E21" s="16">
        <f>sum_pos_20260611!Q8</f>
        <v>0</v>
      </c>
    </row>
    <row r="22" spans="3:14" ht="15" customHeight="1">
      <c r="C22" s="17" t="s">
        <v>7</v>
      </c>
      <c r="D22" s="10" t="s">
        <v>10</v>
      </c>
      <c r="E22" s="18" t="s">
        <v>13</v>
      </c>
    </row>
    <row r="23" spans="3:14" ht="15" customHeight="1">
      <c r="C23" s="15">
        <f>sum_pos_20260622!Q3</f>
        <v>0.33333333333333331</v>
      </c>
      <c r="D23" s="11">
        <f>sum_pos_20260622!Q6</f>
        <v>0</v>
      </c>
      <c r="E23" s="16">
        <f>sum_pos_20260611!Q9</f>
        <v>0</v>
      </c>
    </row>
    <row r="24" spans="3:14" ht="30" customHeight="1">
      <c r="C24" s="17" t="s">
        <v>8</v>
      </c>
      <c r="D24" s="10" t="s">
        <v>11</v>
      </c>
      <c r="E24" s="18" t="s">
        <v>14</v>
      </c>
    </row>
    <row r="25" spans="3:14" ht="30" customHeight="1" thickBot="1">
      <c r="C25" s="19">
        <f>sum_pos_20260622!Q4</f>
        <v>0.16666666666666666</v>
      </c>
      <c r="D25" s="20">
        <f>sum_pos_20260611!Q7</f>
        <v>0</v>
      </c>
      <c r="E25" s="21">
        <f>sum_pos_20260611!Q10</f>
        <v>0</v>
      </c>
    </row>
    <row r="32" spans="3:14" s="47" customFormat="1" ht="10.5" customHeight="1"/>
  </sheetData>
  <phoneticPr fontId="1" type="noConversion"/>
  <conditionalFormatting sqref="C4:E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0:E25">
    <cfRule type="colorScale" priority="3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G19:N19">
    <cfRule type="colorScale" priority="2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AC0FD-BA33-4451-A131-A299D4885FAD}">
  <sheetPr>
    <tabColor theme="8" tint="0.79998168889431442"/>
  </sheetPr>
  <dimension ref="A1:R164"/>
  <sheetViews>
    <sheetView workbookViewId="0">
      <pane xSplit="4" ySplit="1" topLeftCell="H125" activePane="bottomRight" state="frozen"/>
      <selection activeCell="O33" sqref="O33"/>
      <selection pane="topRight" activeCell="O33" sqref="O33"/>
      <selection pane="bottomLeft" activeCell="O33" sqref="O33"/>
      <selection pane="bottomRight" activeCell="P1" sqref="P1"/>
    </sheetView>
  </sheetViews>
  <sheetFormatPr defaultRowHeight="14.25"/>
  <cols>
    <col min="9" max="10" width="16.625" style="57" customWidth="1"/>
    <col min="11" max="11" width="17.25" style="54" customWidth="1"/>
    <col min="12" max="12" width="19.125" style="55" customWidth="1"/>
    <col min="13" max="13" width="14" style="55" customWidth="1"/>
    <col min="14" max="14" width="14.625" style="56" customWidth="1"/>
    <col min="15" max="15" width="13.625" style="26" customWidth="1"/>
    <col min="16" max="16" width="19.625" style="26" customWidth="1"/>
    <col min="17" max="17" width="23.375" style="26" customWidth="1"/>
    <col min="18" max="18" width="17.875" style="26" customWidth="1"/>
  </cols>
  <sheetData>
    <row r="1" spans="1:18">
      <c r="A1" t="s">
        <v>4</v>
      </c>
      <c r="B1" t="s">
        <v>3</v>
      </c>
      <c r="C1" t="s">
        <v>5</v>
      </c>
      <c r="D1" t="s">
        <v>15</v>
      </c>
      <c r="E1" t="s">
        <v>0</v>
      </c>
      <c r="F1" t="s">
        <v>16</v>
      </c>
      <c r="G1" t="s">
        <v>21</v>
      </c>
      <c r="H1" t="s">
        <v>17</v>
      </c>
      <c r="I1" s="57" t="s">
        <v>62</v>
      </c>
      <c r="J1" s="57" t="s">
        <v>98</v>
      </c>
      <c r="K1" s="54" t="s">
        <v>1</v>
      </c>
      <c r="L1" s="55" t="s">
        <v>23</v>
      </c>
      <c r="M1" s="55" t="s">
        <v>71</v>
      </c>
      <c r="N1" s="56" t="s">
        <v>18</v>
      </c>
      <c r="O1" s="26" t="s">
        <v>69</v>
      </c>
      <c r="P1" s="26" t="s">
        <v>97</v>
      </c>
      <c r="Q1" s="26" t="s">
        <v>72</v>
      </c>
      <c r="R1" s="26" t="s">
        <v>70</v>
      </c>
    </row>
    <row r="2" spans="1:18">
      <c r="A2">
        <v>1</v>
      </c>
      <c r="B2" t="s">
        <v>6</v>
      </c>
      <c r="C2">
        <v>1</v>
      </c>
      <c r="D2" t="str">
        <f t="shared" ref="D2:D65" si="0">A2&amp;"-"&amp;B2&amp;"-"&amp;C2</f>
        <v>1-A-1</v>
      </c>
      <c r="H2">
        <v>1</v>
      </c>
      <c r="I2" s="57">
        <v>1</v>
      </c>
    </row>
    <row r="3" spans="1:18">
      <c r="A3">
        <v>1</v>
      </c>
      <c r="B3" t="s">
        <v>6</v>
      </c>
      <c r="C3">
        <v>2</v>
      </c>
      <c r="D3" t="str">
        <f t="shared" si="0"/>
        <v>1-A-2</v>
      </c>
      <c r="H3">
        <v>1</v>
      </c>
      <c r="I3" s="57">
        <v>1</v>
      </c>
    </row>
    <row r="4" spans="1:18">
      <c r="A4">
        <v>1</v>
      </c>
      <c r="B4" t="s">
        <v>6</v>
      </c>
      <c r="C4">
        <v>3</v>
      </c>
      <c r="D4" t="str">
        <f t="shared" si="0"/>
        <v>1-A-3</v>
      </c>
      <c r="H4">
        <v>1</v>
      </c>
      <c r="I4" s="57">
        <v>1</v>
      </c>
    </row>
    <row r="5" spans="1:18">
      <c r="A5">
        <v>1</v>
      </c>
      <c r="B5" t="s">
        <v>7</v>
      </c>
      <c r="C5">
        <v>1</v>
      </c>
      <c r="D5" t="str">
        <f t="shared" si="0"/>
        <v>1-B-1</v>
      </c>
      <c r="H5">
        <v>1</v>
      </c>
      <c r="I5" s="57">
        <v>1</v>
      </c>
    </row>
    <row r="6" spans="1:18">
      <c r="A6">
        <v>1</v>
      </c>
      <c r="B6" t="s">
        <v>7</v>
      </c>
      <c r="C6">
        <v>2</v>
      </c>
      <c r="D6" t="str">
        <f t="shared" si="0"/>
        <v>1-B-2</v>
      </c>
      <c r="H6">
        <v>1</v>
      </c>
      <c r="I6" s="57">
        <v>1</v>
      </c>
    </row>
    <row r="7" spans="1:18">
      <c r="A7">
        <v>1</v>
      </c>
      <c r="B7" t="s">
        <v>7</v>
      </c>
      <c r="C7">
        <v>3</v>
      </c>
      <c r="D7" t="str">
        <f t="shared" si="0"/>
        <v>1-B-3</v>
      </c>
      <c r="H7">
        <v>1</v>
      </c>
      <c r="I7" s="57">
        <v>1</v>
      </c>
    </row>
    <row r="8" spans="1:18">
      <c r="A8">
        <v>1</v>
      </c>
      <c r="B8" t="s">
        <v>8</v>
      </c>
      <c r="C8">
        <v>1</v>
      </c>
      <c r="D8" t="str">
        <f t="shared" si="0"/>
        <v>1-C-1</v>
      </c>
      <c r="H8">
        <v>1</v>
      </c>
      <c r="I8" s="57">
        <v>1</v>
      </c>
    </row>
    <row r="9" spans="1:18">
      <c r="A9">
        <v>1</v>
      </c>
      <c r="B9" t="s">
        <v>8</v>
      </c>
      <c r="C9">
        <v>2</v>
      </c>
      <c r="D9" t="str">
        <f t="shared" si="0"/>
        <v>1-C-2</v>
      </c>
      <c r="H9">
        <v>1</v>
      </c>
      <c r="I9" s="57">
        <v>1</v>
      </c>
    </row>
    <row r="10" spans="1:18">
      <c r="A10">
        <v>1</v>
      </c>
      <c r="B10" t="s">
        <v>8</v>
      </c>
      <c r="C10">
        <v>3</v>
      </c>
      <c r="D10" t="str">
        <f t="shared" si="0"/>
        <v>1-C-3</v>
      </c>
      <c r="H10">
        <v>1</v>
      </c>
      <c r="I10" s="57">
        <v>1</v>
      </c>
    </row>
    <row r="11" spans="1:18">
      <c r="A11">
        <v>1</v>
      </c>
      <c r="B11" t="s">
        <v>9</v>
      </c>
      <c r="C11">
        <v>1</v>
      </c>
      <c r="D11" t="str">
        <f t="shared" si="0"/>
        <v>1-D-1</v>
      </c>
      <c r="H11">
        <v>1</v>
      </c>
      <c r="I11" s="57">
        <v>1</v>
      </c>
    </row>
    <row r="12" spans="1:18">
      <c r="A12">
        <v>1</v>
      </c>
      <c r="B12" t="s">
        <v>9</v>
      </c>
      <c r="C12">
        <v>2</v>
      </c>
      <c r="D12" t="str">
        <f t="shared" si="0"/>
        <v>1-D-2</v>
      </c>
      <c r="F12">
        <v>1</v>
      </c>
      <c r="N12" s="56">
        <v>1</v>
      </c>
    </row>
    <row r="13" spans="1:18">
      <c r="A13">
        <v>1</v>
      </c>
      <c r="B13" t="s">
        <v>9</v>
      </c>
      <c r="C13">
        <v>3</v>
      </c>
      <c r="D13" t="str">
        <f t="shared" si="0"/>
        <v>1-D-3</v>
      </c>
      <c r="H13">
        <v>1</v>
      </c>
      <c r="I13" s="57">
        <v>1</v>
      </c>
    </row>
    <row r="14" spans="1:18">
      <c r="A14">
        <v>1</v>
      </c>
      <c r="B14" t="s">
        <v>10</v>
      </c>
      <c r="C14">
        <v>1</v>
      </c>
      <c r="D14" t="str">
        <f t="shared" si="0"/>
        <v>1-E-1</v>
      </c>
      <c r="H14">
        <v>1</v>
      </c>
    </row>
    <row r="15" spans="1:18">
      <c r="A15">
        <v>1</v>
      </c>
      <c r="B15" t="s">
        <v>10</v>
      </c>
      <c r="C15">
        <v>2</v>
      </c>
      <c r="D15" t="str">
        <f t="shared" si="0"/>
        <v>1-E-2</v>
      </c>
      <c r="H15">
        <v>1</v>
      </c>
    </row>
    <row r="16" spans="1:18">
      <c r="A16">
        <v>1</v>
      </c>
      <c r="B16" t="s">
        <v>10</v>
      </c>
      <c r="C16">
        <v>3</v>
      </c>
      <c r="D16" t="str">
        <f t="shared" si="0"/>
        <v>1-E-3</v>
      </c>
      <c r="H16">
        <v>1</v>
      </c>
    </row>
    <row r="17" spans="1:18">
      <c r="A17">
        <v>1</v>
      </c>
      <c r="B17" t="s">
        <v>11</v>
      </c>
      <c r="C17">
        <v>1</v>
      </c>
      <c r="D17" t="str">
        <f t="shared" si="0"/>
        <v>1-F-1</v>
      </c>
      <c r="F17">
        <v>1</v>
      </c>
      <c r="Q17" s="26">
        <v>1</v>
      </c>
    </row>
    <row r="18" spans="1:18">
      <c r="A18">
        <v>1</v>
      </c>
      <c r="B18" t="s">
        <v>11</v>
      </c>
      <c r="C18">
        <v>2</v>
      </c>
      <c r="D18" t="str">
        <f t="shared" si="0"/>
        <v>1-F-2</v>
      </c>
      <c r="F18">
        <v>1</v>
      </c>
      <c r="Q18" s="26">
        <v>1</v>
      </c>
    </row>
    <row r="19" spans="1:18">
      <c r="A19">
        <v>1</v>
      </c>
      <c r="B19" t="s">
        <v>11</v>
      </c>
      <c r="C19">
        <v>3</v>
      </c>
      <c r="D19" t="str">
        <f t="shared" si="0"/>
        <v>1-F-3</v>
      </c>
      <c r="F19">
        <v>1</v>
      </c>
      <c r="Q19" s="26">
        <v>1</v>
      </c>
    </row>
    <row r="20" spans="1:18">
      <c r="A20">
        <v>1</v>
      </c>
      <c r="B20" t="s">
        <v>12</v>
      </c>
      <c r="C20">
        <v>1</v>
      </c>
      <c r="D20" t="str">
        <f t="shared" si="0"/>
        <v>1-G-1</v>
      </c>
      <c r="F20">
        <v>1</v>
      </c>
      <c r="N20" s="56">
        <v>1</v>
      </c>
    </row>
    <row r="21" spans="1:18">
      <c r="A21">
        <v>1</v>
      </c>
      <c r="B21" t="s">
        <v>12</v>
      </c>
      <c r="C21">
        <v>2</v>
      </c>
      <c r="D21" t="str">
        <f t="shared" si="0"/>
        <v>1-G-2</v>
      </c>
      <c r="G21">
        <v>1</v>
      </c>
      <c r="N21" s="56">
        <v>1</v>
      </c>
    </row>
    <row r="22" spans="1:18">
      <c r="A22">
        <v>1</v>
      </c>
      <c r="B22" t="s">
        <v>12</v>
      </c>
      <c r="C22">
        <v>3</v>
      </c>
      <c r="D22" t="str">
        <f t="shared" si="0"/>
        <v>1-G-3</v>
      </c>
      <c r="H22">
        <v>1</v>
      </c>
      <c r="I22" s="57">
        <v>1</v>
      </c>
    </row>
    <row r="23" spans="1:18">
      <c r="A23">
        <v>1</v>
      </c>
      <c r="B23" t="s">
        <v>13</v>
      </c>
      <c r="C23">
        <v>1</v>
      </c>
      <c r="D23" t="str">
        <f t="shared" si="0"/>
        <v>1-H-1</v>
      </c>
      <c r="H23">
        <v>1</v>
      </c>
      <c r="I23" s="57">
        <v>1</v>
      </c>
    </row>
    <row r="24" spans="1:18">
      <c r="A24">
        <v>1</v>
      </c>
      <c r="B24" t="s">
        <v>13</v>
      </c>
      <c r="C24">
        <v>2</v>
      </c>
      <c r="D24" t="str">
        <f t="shared" si="0"/>
        <v>1-H-2</v>
      </c>
      <c r="H24">
        <v>1</v>
      </c>
      <c r="I24" s="57">
        <v>1</v>
      </c>
    </row>
    <row r="25" spans="1:18">
      <c r="A25">
        <v>1</v>
      </c>
      <c r="B25" t="s">
        <v>13</v>
      </c>
      <c r="C25">
        <v>3</v>
      </c>
      <c r="D25" t="str">
        <f t="shared" si="0"/>
        <v>1-H-3</v>
      </c>
      <c r="H25">
        <v>1</v>
      </c>
      <c r="I25" s="57">
        <v>1</v>
      </c>
    </row>
    <row r="26" spans="1:18">
      <c r="A26">
        <v>1</v>
      </c>
      <c r="B26" t="s">
        <v>14</v>
      </c>
      <c r="C26">
        <v>1</v>
      </c>
      <c r="D26" t="str">
        <f t="shared" si="0"/>
        <v>1-I-1</v>
      </c>
      <c r="H26">
        <v>1</v>
      </c>
      <c r="I26" s="57">
        <v>1</v>
      </c>
    </row>
    <row r="27" spans="1:18">
      <c r="A27">
        <v>1</v>
      </c>
      <c r="B27" t="s">
        <v>14</v>
      </c>
      <c r="C27">
        <v>2</v>
      </c>
      <c r="D27" t="str">
        <f t="shared" si="0"/>
        <v>1-I-2</v>
      </c>
      <c r="F27">
        <v>1</v>
      </c>
      <c r="R27" s="26">
        <v>1</v>
      </c>
    </row>
    <row r="28" spans="1:18">
      <c r="A28">
        <v>1</v>
      </c>
      <c r="B28" t="s">
        <v>14</v>
      </c>
      <c r="C28">
        <v>3</v>
      </c>
      <c r="D28" t="str">
        <f t="shared" si="0"/>
        <v>1-I-3</v>
      </c>
      <c r="F28">
        <v>1</v>
      </c>
      <c r="R28" s="26">
        <v>1</v>
      </c>
    </row>
    <row r="29" spans="1:18">
      <c r="A29">
        <v>2</v>
      </c>
      <c r="B29" t="s">
        <v>6</v>
      </c>
      <c r="C29">
        <v>1</v>
      </c>
      <c r="D29" t="str">
        <f t="shared" si="0"/>
        <v>2-A-1</v>
      </c>
      <c r="H29">
        <v>1</v>
      </c>
      <c r="I29" s="57">
        <v>1</v>
      </c>
    </row>
    <row r="30" spans="1:18">
      <c r="A30">
        <v>2</v>
      </c>
      <c r="B30" t="s">
        <v>6</v>
      </c>
      <c r="C30">
        <v>2</v>
      </c>
      <c r="D30" t="str">
        <f t="shared" si="0"/>
        <v>2-A-2</v>
      </c>
      <c r="F30">
        <v>1</v>
      </c>
      <c r="Q30" s="26">
        <v>1</v>
      </c>
    </row>
    <row r="31" spans="1:18">
      <c r="A31">
        <v>2</v>
      </c>
      <c r="B31" t="s">
        <v>6</v>
      </c>
      <c r="C31">
        <v>3</v>
      </c>
      <c r="D31" t="str">
        <f t="shared" si="0"/>
        <v>2-A-3</v>
      </c>
      <c r="H31">
        <v>1</v>
      </c>
      <c r="I31" s="57">
        <v>1</v>
      </c>
    </row>
    <row r="32" spans="1:18">
      <c r="A32">
        <v>2</v>
      </c>
      <c r="B32" t="s">
        <v>7</v>
      </c>
      <c r="C32">
        <v>1</v>
      </c>
      <c r="D32" t="str">
        <f t="shared" si="0"/>
        <v>2-B-1</v>
      </c>
      <c r="F32">
        <v>1</v>
      </c>
      <c r="P32" s="26">
        <v>1</v>
      </c>
    </row>
    <row r="33" spans="1:16">
      <c r="A33">
        <v>2</v>
      </c>
      <c r="B33" t="s">
        <v>7</v>
      </c>
      <c r="C33">
        <v>2</v>
      </c>
      <c r="D33" t="str">
        <f t="shared" si="0"/>
        <v>2-B-2</v>
      </c>
      <c r="F33">
        <v>1</v>
      </c>
      <c r="P33" s="26">
        <v>1</v>
      </c>
    </row>
    <row r="34" spans="1:16">
      <c r="A34">
        <v>2</v>
      </c>
      <c r="B34" t="s">
        <v>7</v>
      </c>
      <c r="C34">
        <v>3</v>
      </c>
      <c r="D34" t="str">
        <f t="shared" si="0"/>
        <v>2-B-3</v>
      </c>
      <c r="H34">
        <v>1</v>
      </c>
      <c r="I34" s="57">
        <v>1</v>
      </c>
    </row>
    <row r="35" spans="1:16">
      <c r="A35">
        <v>2</v>
      </c>
      <c r="B35" t="s">
        <v>8</v>
      </c>
      <c r="C35">
        <v>1</v>
      </c>
      <c r="D35" t="str">
        <f t="shared" si="0"/>
        <v>2-C-1</v>
      </c>
      <c r="H35">
        <v>1</v>
      </c>
      <c r="I35" s="57">
        <v>1</v>
      </c>
    </row>
    <row r="36" spans="1:16">
      <c r="A36">
        <v>2</v>
      </c>
      <c r="B36" t="s">
        <v>8</v>
      </c>
      <c r="C36">
        <v>2</v>
      </c>
      <c r="D36" t="str">
        <f t="shared" si="0"/>
        <v>2-C-2</v>
      </c>
      <c r="H36">
        <v>1</v>
      </c>
      <c r="I36" s="57">
        <v>1</v>
      </c>
    </row>
    <row r="37" spans="1:16">
      <c r="A37">
        <v>2</v>
      </c>
      <c r="B37" t="s">
        <v>8</v>
      </c>
      <c r="C37">
        <v>3</v>
      </c>
      <c r="D37" t="str">
        <f t="shared" si="0"/>
        <v>2-C-3</v>
      </c>
      <c r="H37">
        <v>1</v>
      </c>
      <c r="I37" s="57">
        <v>1</v>
      </c>
    </row>
    <row r="38" spans="1:16">
      <c r="A38">
        <v>2</v>
      </c>
      <c r="B38" t="s">
        <v>9</v>
      </c>
      <c r="C38">
        <v>1</v>
      </c>
      <c r="D38" t="str">
        <f t="shared" si="0"/>
        <v>2-D-1</v>
      </c>
      <c r="G38">
        <v>1</v>
      </c>
      <c r="N38" s="56">
        <v>1</v>
      </c>
    </row>
    <row r="39" spans="1:16">
      <c r="A39">
        <v>2</v>
      </c>
      <c r="B39" t="s">
        <v>9</v>
      </c>
      <c r="C39">
        <v>2</v>
      </c>
      <c r="D39" t="str">
        <f t="shared" si="0"/>
        <v>2-D-2</v>
      </c>
      <c r="H39">
        <v>1</v>
      </c>
      <c r="I39" s="57">
        <v>1</v>
      </c>
    </row>
    <row r="40" spans="1:16">
      <c r="A40">
        <v>2</v>
      </c>
      <c r="B40" t="s">
        <v>9</v>
      </c>
      <c r="C40">
        <v>3</v>
      </c>
      <c r="D40" t="str">
        <f t="shared" si="0"/>
        <v>2-D-3</v>
      </c>
      <c r="H40">
        <v>1</v>
      </c>
      <c r="J40" s="57">
        <v>1</v>
      </c>
    </row>
    <row r="41" spans="1:16">
      <c r="A41">
        <v>2</v>
      </c>
      <c r="B41" t="s">
        <v>10</v>
      </c>
      <c r="C41">
        <v>1</v>
      </c>
      <c r="D41" t="str">
        <f t="shared" si="0"/>
        <v>2-E-1</v>
      </c>
      <c r="H41">
        <v>1</v>
      </c>
      <c r="I41" s="57">
        <v>1</v>
      </c>
    </row>
    <row r="42" spans="1:16">
      <c r="A42">
        <v>2</v>
      </c>
      <c r="B42" t="s">
        <v>10</v>
      </c>
      <c r="C42">
        <v>2</v>
      </c>
      <c r="D42" t="str">
        <f t="shared" si="0"/>
        <v>2-E-2</v>
      </c>
      <c r="H42">
        <v>1</v>
      </c>
      <c r="I42" s="57">
        <v>1</v>
      </c>
    </row>
    <row r="43" spans="1:16">
      <c r="A43">
        <v>2</v>
      </c>
      <c r="B43" t="s">
        <v>10</v>
      </c>
      <c r="C43">
        <v>3</v>
      </c>
      <c r="D43" t="str">
        <f t="shared" si="0"/>
        <v>2-E-3</v>
      </c>
      <c r="H43">
        <v>1</v>
      </c>
      <c r="I43" s="57">
        <v>1</v>
      </c>
    </row>
    <row r="44" spans="1:16">
      <c r="A44">
        <v>2</v>
      </c>
      <c r="B44" t="s">
        <v>11</v>
      </c>
      <c r="C44">
        <v>1</v>
      </c>
      <c r="D44" t="str">
        <f t="shared" si="0"/>
        <v>2-F-1</v>
      </c>
      <c r="H44">
        <v>1</v>
      </c>
      <c r="I44" s="57">
        <v>1</v>
      </c>
    </row>
    <row r="45" spans="1:16">
      <c r="A45">
        <v>2</v>
      </c>
      <c r="B45" t="s">
        <v>11</v>
      </c>
      <c r="C45">
        <v>2</v>
      </c>
      <c r="D45" t="str">
        <f t="shared" si="0"/>
        <v>2-F-2</v>
      </c>
      <c r="H45">
        <v>1</v>
      </c>
      <c r="I45" s="57">
        <v>1</v>
      </c>
    </row>
    <row r="46" spans="1:16">
      <c r="A46">
        <v>2</v>
      </c>
      <c r="B46" t="s">
        <v>11</v>
      </c>
      <c r="C46">
        <v>3</v>
      </c>
      <c r="D46" t="str">
        <f t="shared" si="0"/>
        <v>2-F-3</v>
      </c>
      <c r="H46">
        <v>1</v>
      </c>
      <c r="I46" s="57">
        <v>1</v>
      </c>
    </row>
    <row r="47" spans="1:16">
      <c r="A47">
        <v>2</v>
      </c>
      <c r="B47" t="s">
        <v>12</v>
      </c>
      <c r="C47">
        <v>1</v>
      </c>
      <c r="D47" t="str">
        <f t="shared" si="0"/>
        <v>2-G-1</v>
      </c>
      <c r="H47">
        <v>1</v>
      </c>
      <c r="I47" s="57">
        <v>1</v>
      </c>
    </row>
    <row r="48" spans="1:16">
      <c r="A48">
        <v>2</v>
      </c>
      <c r="B48" t="s">
        <v>12</v>
      </c>
      <c r="C48">
        <v>2</v>
      </c>
      <c r="D48" t="str">
        <f t="shared" si="0"/>
        <v>2-G-2</v>
      </c>
      <c r="F48">
        <v>1</v>
      </c>
      <c r="N48" s="56">
        <v>1</v>
      </c>
    </row>
    <row r="49" spans="1:14">
      <c r="A49">
        <v>2</v>
      </c>
      <c r="B49" t="s">
        <v>12</v>
      </c>
      <c r="C49">
        <v>3</v>
      </c>
      <c r="D49" t="str">
        <f t="shared" si="0"/>
        <v>2-G-3</v>
      </c>
      <c r="H49">
        <v>1</v>
      </c>
      <c r="I49" s="57">
        <v>1</v>
      </c>
    </row>
    <row r="50" spans="1:14">
      <c r="A50">
        <v>2</v>
      </c>
      <c r="B50" t="s">
        <v>13</v>
      </c>
      <c r="C50">
        <v>1</v>
      </c>
      <c r="D50" t="str">
        <f t="shared" si="0"/>
        <v>2-H-1</v>
      </c>
      <c r="H50">
        <v>1</v>
      </c>
      <c r="I50" s="57">
        <v>1</v>
      </c>
    </row>
    <row r="51" spans="1:14">
      <c r="A51">
        <v>2</v>
      </c>
      <c r="B51" t="s">
        <v>13</v>
      </c>
      <c r="C51">
        <v>2</v>
      </c>
      <c r="D51" t="str">
        <f t="shared" si="0"/>
        <v>2-H-2</v>
      </c>
      <c r="H51">
        <v>1</v>
      </c>
      <c r="I51" s="57">
        <v>1</v>
      </c>
    </row>
    <row r="52" spans="1:14">
      <c r="A52">
        <v>2</v>
      </c>
      <c r="B52" t="s">
        <v>13</v>
      </c>
      <c r="C52">
        <v>3</v>
      </c>
      <c r="D52" t="str">
        <f t="shared" si="0"/>
        <v>2-H-3</v>
      </c>
      <c r="H52">
        <v>1</v>
      </c>
      <c r="I52" s="57">
        <v>1</v>
      </c>
    </row>
    <row r="53" spans="1:14">
      <c r="A53">
        <v>2</v>
      </c>
      <c r="B53" t="s">
        <v>14</v>
      </c>
      <c r="C53">
        <v>1</v>
      </c>
      <c r="D53" t="str">
        <f t="shared" si="0"/>
        <v>2-I-1</v>
      </c>
      <c r="H53">
        <v>1</v>
      </c>
      <c r="I53" s="57">
        <v>1</v>
      </c>
    </row>
    <row r="54" spans="1:14">
      <c r="A54">
        <v>2</v>
      </c>
      <c r="B54" t="s">
        <v>14</v>
      </c>
      <c r="C54">
        <v>2</v>
      </c>
      <c r="D54" t="str">
        <f t="shared" si="0"/>
        <v>2-I-2</v>
      </c>
      <c r="H54">
        <v>1</v>
      </c>
      <c r="I54" s="57">
        <v>1</v>
      </c>
    </row>
    <row r="55" spans="1:14">
      <c r="A55">
        <v>2</v>
      </c>
      <c r="B55" t="s">
        <v>14</v>
      </c>
      <c r="C55">
        <v>3</v>
      </c>
      <c r="D55" t="str">
        <f t="shared" si="0"/>
        <v>2-I-3</v>
      </c>
      <c r="F55">
        <v>1</v>
      </c>
      <c r="N55" s="56">
        <v>1</v>
      </c>
    </row>
    <row r="56" spans="1:14">
      <c r="A56">
        <v>3</v>
      </c>
      <c r="B56" t="s">
        <v>6</v>
      </c>
      <c r="C56">
        <v>1</v>
      </c>
      <c r="D56" t="str">
        <f t="shared" si="0"/>
        <v>3-A-1</v>
      </c>
      <c r="H56">
        <v>1</v>
      </c>
      <c r="I56" s="57">
        <v>1</v>
      </c>
    </row>
    <row r="57" spans="1:14">
      <c r="A57">
        <v>3</v>
      </c>
      <c r="B57" t="s">
        <v>6</v>
      </c>
      <c r="C57">
        <v>2</v>
      </c>
      <c r="D57" t="str">
        <f t="shared" si="0"/>
        <v>3-A-2</v>
      </c>
      <c r="H57">
        <v>1</v>
      </c>
      <c r="I57" s="57">
        <v>1</v>
      </c>
    </row>
    <row r="58" spans="1:14">
      <c r="A58">
        <v>3</v>
      </c>
      <c r="B58" t="s">
        <v>6</v>
      </c>
      <c r="C58">
        <v>3</v>
      </c>
      <c r="D58" t="str">
        <f t="shared" si="0"/>
        <v>3-A-3</v>
      </c>
      <c r="H58">
        <v>1</v>
      </c>
      <c r="I58" s="57">
        <v>1</v>
      </c>
    </row>
    <row r="59" spans="1:14">
      <c r="A59">
        <v>3</v>
      </c>
      <c r="B59" t="s">
        <v>8</v>
      </c>
      <c r="C59">
        <v>1</v>
      </c>
      <c r="D59" t="str">
        <f t="shared" si="0"/>
        <v>3-C-1</v>
      </c>
      <c r="H59">
        <v>1</v>
      </c>
      <c r="I59" s="57">
        <v>1</v>
      </c>
    </row>
    <row r="60" spans="1:14">
      <c r="A60">
        <v>3</v>
      </c>
      <c r="B60" t="s">
        <v>8</v>
      </c>
      <c r="C60">
        <v>2</v>
      </c>
      <c r="D60" t="str">
        <f t="shared" si="0"/>
        <v>3-C-2</v>
      </c>
      <c r="H60">
        <v>1</v>
      </c>
      <c r="I60" s="57">
        <v>1</v>
      </c>
    </row>
    <row r="61" spans="1:14">
      <c r="A61">
        <v>3</v>
      </c>
      <c r="B61" t="s">
        <v>8</v>
      </c>
      <c r="C61">
        <v>3</v>
      </c>
      <c r="D61" t="str">
        <f t="shared" si="0"/>
        <v>3-C-3</v>
      </c>
      <c r="H61">
        <v>1</v>
      </c>
      <c r="I61" s="57">
        <v>1</v>
      </c>
    </row>
    <row r="62" spans="1:14">
      <c r="A62">
        <v>3</v>
      </c>
      <c r="B62" t="s">
        <v>9</v>
      </c>
      <c r="C62">
        <v>1</v>
      </c>
      <c r="D62" t="str">
        <f t="shared" si="0"/>
        <v>3-D-1</v>
      </c>
      <c r="H62">
        <v>1</v>
      </c>
      <c r="I62" s="57">
        <v>1</v>
      </c>
    </row>
    <row r="63" spans="1:14">
      <c r="A63">
        <v>3</v>
      </c>
      <c r="B63" t="s">
        <v>9</v>
      </c>
      <c r="C63">
        <v>2</v>
      </c>
      <c r="D63" t="str">
        <f t="shared" si="0"/>
        <v>3-D-2</v>
      </c>
      <c r="H63">
        <v>1</v>
      </c>
      <c r="I63" s="57">
        <v>1</v>
      </c>
    </row>
    <row r="64" spans="1:14">
      <c r="A64">
        <v>3</v>
      </c>
      <c r="B64" t="s">
        <v>9</v>
      </c>
      <c r="C64">
        <v>3</v>
      </c>
      <c r="D64" t="str">
        <f t="shared" si="0"/>
        <v>3-D-3</v>
      </c>
      <c r="H64">
        <v>1</v>
      </c>
      <c r="I64" s="57">
        <v>1</v>
      </c>
    </row>
    <row r="65" spans="1:16">
      <c r="A65">
        <v>3</v>
      </c>
      <c r="B65" t="s">
        <v>11</v>
      </c>
      <c r="C65">
        <v>1</v>
      </c>
      <c r="D65" t="str">
        <f t="shared" si="0"/>
        <v>3-F-1</v>
      </c>
      <c r="H65">
        <v>1</v>
      </c>
      <c r="I65" s="57">
        <v>1</v>
      </c>
    </row>
    <row r="66" spans="1:16">
      <c r="A66">
        <v>3</v>
      </c>
      <c r="B66" t="s">
        <v>11</v>
      </c>
      <c r="C66">
        <v>2</v>
      </c>
      <c r="D66" t="str">
        <f t="shared" ref="D66:D129" si="1">A66&amp;"-"&amp;B66&amp;"-"&amp;C66</f>
        <v>3-F-2</v>
      </c>
      <c r="H66">
        <v>1</v>
      </c>
      <c r="I66" s="57">
        <v>1</v>
      </c>
    </row>
    <row r="67" spans="1:16">
      <c r="A67">
        <v>3</v>
      </c>
      <c r="B67" t="s">
        <v>11</v>
      </c>
      <c r="C67">
        <v>3</v>
      </c>
      <c r="D67" t="str">
        <f t="shared" si="1"/>
        <v>3-F-3</v>
      </c>
      <c r="H67">
        <v>1</v>
      </c>
      <c r="I67" s="57">
        <v>1</v>
      </c>
    </row>
    <row r="68" spans="1:16">
      <c r="A68">
        <v>3</v>
      </c>
      <c r="B68" t="s">
        <v>12</v>
      </c>
      <c r="C68">
        <v>1</v>
      </c>
      <c r="D68" t="str">
        <f t="shared" si="1"/>
        <v>3-G-1</v>
      </c>
      <c r="H68">
        <v>1</v>
      </c>
      <c r="I68" s="57">
        <v>1</v>
      </c>
    </row>
    <row r="69" spans="1:16">
      <c r="A69">
        <v>3</v>
      </c>
      <c r="B69" t="s">
        <v>12</v>
      </c>
      <c r="C69">
        <v>2</v>
      </c>
      <c r="D69" t="str">
        <f t="shared" si="1"/>
        <v>3-G-2</v>
      </c>
      <c r="H69">
        <v>1</v>
      </c>
      <c r="I69" s="57">
        <v>1</v>
      </c>
    </row>
    <row r="70" spans="1:16">
      <c r="A70">
        <v>3</v>
      </c>
      <c r="B70" t="s">
        <v>12</v>
      </c>
      <c r="C70">
        <v>3</v>
      </c>
      <c r="D70" t="str">
        <f t="shared" si="1"/>
        <v>3-G-3</v>
      </c>
      <c r="H70">
        <v>1</v>
      </c>
      <c r="I70" s="57">
        <v>1</v>
      </c>
    </row>
    <row r="71" spans="1:16">
      <c r="A71">
        <v>3</v>
      </c>
      <c r="B71" t="s">
        <v>14</v>
      </c>
      <c r="C71">
        <v>1</v>
      </c>
      <c r="D71" t="str">
        <f t="shared" si="1"/>
        <v>3-I-1</v>
      </c>
      <c r="H71">
        <v>1</v>
      </c>
      <c r="I71" s="57">
        <v>1</v>
      </c>
    </row>
    <row r="72" spans="1:16">
      <c r="A72">
        <v>3</v>
      </c>
      <c r="B72" t="s">
        <v>14</v>
      </c>
      <c r="C72">
        <v>2</v>
      </c>
      <c r="D72" t="str">
        <f t="shared" si="1"/>
        <v>3-I-2</v>
      </c>
      <c r="H72">
        <v>1</v>
      </c>
      <c r="I72" s="57">
        <v>1</v>
      </c>
    </row>
    <row r="73" spans="1:16">
      <c r="A73">
        <v>3</v>
      </c>
      <c r="B73" t="s">
        <v>14</v>
      </c>
      <c r="C73">
        <v>3</v>
      </c>
      <c r="D73" t="str">
        <f t="shared" si="1"/>
        <v>3-I-3</v>
      </c>
      <c r="H73">
        <v>1</v>
      </c>
      <c r="I73" s="57">
        <v>1</v>
      </c>
    </row>
    <row r="74" spans="1:16">
      <c r="A74">
        <v>4</v>
      </c>
      <c r="B74" t="s">
        <v>6</v>
      </c>
      <c r="C74">
        <v>1</v>
      </c>
      <c r="D74" t="str">
        <f t="shared" si="1"/>
        <v>4-A-1</v>
      </c>
      <c r="H74">
        <v>1</v>
      </c>
      <c r="I74" s="57">
        <v>1</v>
      </c>
    </row>
    <row r="75" spans="1:16">
      <c r="A75">
        <v>4</v>
      </c>
      <c r="B75" t="s">
        <v>6</v>
      </c>
      <c r="C75">
        <v>2</v>
      </c>
      <c r="D75" t="str">
        <f t="shared" si="1"/>
        <v>4-A-2</v>
      </c>
      <c r="H75">
        <v>1</v>
      </c>
      <c r="I75" s="57">
        <v>1</v>
      </c>
    </row>
    <row r="76" spans="1:16">
      <c r="A76">
        <v>4</v>
      </c>
      <c r="B76" t="s">
        <v>6</v>
      </c>
      <c r="C76">
        <v>3</v>
      </c>
      <c r="D76" t="str">
        <f t="shared" si="1"/>
        <v>4-A-3</v>
      </c>
      <c r="G76">
        <v>1</v>
      </c>
      <c r="P76" s="26">
        <v>1</v>
      </c>
    </row>
    <row r="77" spans="1:16">
      <c r="A77">
        <v>4</v>
      </c>
      <c r="B77" t="s">
        <v>8</v>
      </c>
      <c r="C77">
        <v>1</v>
      </c>
      <c r="D77" t="str">
        <f t="shared" si="1"/>
        <v>4-C-1</v>
      </c>
      <c r="H77">
        <v>1</v>
      </c>
      <c r="I77" s="57">
        <v>1</v>
      </c>
    </row>
    <row r="78" spans="1:16">
      <c r="A78">
        <v>4</v>
      </c>
      <c r="B78" t="s">
        <v>8</v>
      </c>
      <c r="C78">
        <v>2</v>
      </c>
      <c r="D78" t="str">
        <f t="shared" si="1"/>
        <v>4-C-2</v>
      </c>
      <c r="H78">
        <v>1</v>
      </c>
      <c r="I78" s="57">
        <v>1</v>
      </c>
    </row>
    <row r="79" spans="1:16">
      <c r="A79">
        <v>4</v>
      </c>
      <c r="B79" t="s">
        <v>8</v>
      </c>
      <c r="C79">
        <v>3</v>
      </c>
      <c r="D79" t="str">
        <f t="shared" si="1"/>
        <v>4-C-3</v>
      </c>
      <c r="H79">
        <v>1</v>
      </c>
      <c r="I79" s="57">
        <v>1</v>
      </c>
    </row>
    <row r="80" spans="1:16">
      <c r="A80">
        <v>4</v>
      </c>
      <c r="B80" t="s">
        <v>9</v>
      </c>
      <c r="C80">
        <v>1</v>
      </c>
      <c r="D80" t="str">
        <f t="shared" si="1"/>
        <v>4-D-1</v>
      </c>
      <c r="H80">
        <v>1</v>
      </c>
      <c r="I80" s="57">
        <v>1</v>
      </c>
    </row>
    <row r="81" spans="1:16">
      <c r="A81">
        <v>4</v>
      </c>
      <c r="B81" t="s">
        <v>9</v>
      </c>
      <c r="C81">
        <v>2</v>
      </c>
      <c r="D81" t="str">
        <f t="shared" si="1"/>
        <v>4-D-2</v>
      </c>
      <c r="G81">
        <v>1</v>
      </c>
      <c r="P81" s="26">
        <v>1</v>
      </c>
    </row>
    <row r="82" spans="1:16">
      <c r="A82">
        <v>4</v>
      </c>
      <c r="B82" t="s">
        <v>9</v>
      </c>
      <c r="C82">
        <v>3</v>
      </c>
      <c r="D82" t="str">
        <f t="shared" si="1"/>
        <v>4-D-3</v>
      </c>
      <c r="G82">
        <v>1</v>
      </c>
      <c r="P82" s="26">
        <v>1</v>
      </c>
    </row>
    <row r="83" spans="1:16">
      <c r="A83">
        <v>4</v>
      </c>
      <c r="B83" t="s">
        <v>11</v>
      </c>
      <c r="C83">
        <v>1</v>
      </c>
      <c r="D83" t="str">
        <f t="shared" si="1"/>
        <v>4-F-1</v>
      </c>
      <c r="H83">
        <v>1</v>
      </c>
      <c r="I83" s="57">
        <v>1</v>
      </c>
    </row>
    <row r="84" spans="1:16">
      <c r="A84">
        <v>4</v>
      </c>
      <c r="B84" t="s">
        <v>11</v>
      </c>
      <c r="C84">
        <v>2</v>
      </c>
      <c r="D84" t="str">
        <f t="shared" si="1"/>
        <v>4-F-2</v>
      </c>
      <c r="H84">
        <v>1</v>
      </c>
      <c r="I84" s="57">
        <v>1</v>
      </c>
    </row>
    <row r="85" spans="1:16">
      <c r="A85">
        <v>4</v>
      </c>
      <c r="B85" t="s">
        <v>11</v>
      </c>
      <c r="C85">
        <v>3</v>
      </c>
      <c r="D85" t="str">
        <f t="shared" si="1"/>
        <v>4-F-3</v>
      </c>
      <c r="G85">
        <v>1</v>
      </c>
      <c r="P85" s="26">
        <v>1</v>
      </c>
    </row>
    <row r="86" spans="1:16">
      <c r="A86">
        <v>4</v>
      </c>
      <c r="B86" t="s">
        <v>12</v>
      </c>
      <c r="C86">
        <v>1</v>
      </c>
      <c r="D86" t="str">
        <f t="shared" si="1"/>
        <v>4-G-1</v>
      </c>
      <c r="H86">
        <v>1</v>
      </c>
      <c r="I86" s="57">
        <v>1</v>
      </c>
    </row>
    <row r="87" spans="1:16">
      <c r="A87">
        <v>4</v>
      </c>
      <c r="B87" t="s">
        <v>12</v>
      </c>
      <c r="C87">
        <v>2</v>
      </c>
      <c r="D87" t="str">
        <f t="shared" si="1"/>
        <v>4-G-2</v>
      </c>
      <c r="H87">
        <v>1</v>
      </c>
      <c r="I87" s="57">
        <v>1</v>
      </c>
    </row>
    <row r="88" spans="1:16">
      <c r="A88">
        <v>4</v>
      </c>
      <c r="B88" t="s">
        <v>12</v>
      </c>
      <c r="C88">
        <v>3</v>
      </c>
      <c r="D88" t="str">
        <f t="shared" si="1"/>
        <v>4-G-3</v>
      </c>
      <c r="H88">
        <v>1</v>
      </c>
      <c r="I88" s="57">
        <v>1</v>
      </c>
    </row>
    <row r="89" spans="1:16">
      <c r="A89">
        <v>4</v>
      </c>
      <c r="B89" t="s">
        <v>14</v>
      </c>
      <c r="C89">
        <v>1</v>
      </c>
      <c r="D89" t="str">
        <f t="shared" si="1"/>
        <v>4-I-1</v>
      </c>
      <c r="H89">
        <v>1</v>
      </c>
      <c r="I89" s="57">
        <v>1</v>
      </c>
    </row>
    <row r="90" spans="1:16">
      <c r="A90">
        <v>4</v>
      </c>
      <c r="B90" t="s">
        <v>14</v>
      </c>
      <c r="C90">
        <v>2</v>
      </c>
      <c r="D90" t="str">
        <f t="shared" si="1"/>
        <v>4-I-2</v>
      </c>
      <c r="H90">
        <v>1</v>
      </c>
      <c r="I90" s="57">
        <v>1</v>
      </c>
    </row>
    <row r="91" spans="1:16">
      <c r="A91">
        <v>4</v>
      </c>
      <c r="B91" t="s">
        <v>14</v>
      </c>
      <c r="C91">
        <v>3</v>
      </c>
      <c r="D91" t="str">
        <f t="shared" si="1"/>
        <v>4-I-3</v>
      </c>
      <c r="H91">
        <v>1</v>
      </c>
      <c r="I91" s="57">
        <v>1</v>
      </c>
    </row>
    <row r="92" spans="1:16">
      <c r="A92">
        <v>5</v>
      </c>
      <c r="B92" t="s">
        <v>6</v>
      </c>
      <c r="C92">
        <v>1</v>
      </c>
      <c r="D92" t="str">
        <f t="shared" si="1"/>
        <v>5-A-1</v>
      </c>
      <c r="H92">
        <v>1</v>
      </c>
    </row>
    <row r="93" spans="1:16">
      <c r="A93">
        <v>5</v>
      </c>
      <c r="B93" t="s">
        <v>6</v>
      </c>
      <c r="C93">
        <v>2</v>
      </c>
      <c r="D93" t="str">
        <f t="shared" si="1"/>
        <v>5-A-2</v>
      </c>
      <c r="F93">
        <v>1</v>
      </c>
      <c r="N93" s="56">
        <v>1</v>
      </c>
    </row>
    <row r="94" spans="1:16">
      <c r="A94">
        <v>5</v>
      </c>
      <c r="B94" t="s">
        <v>6</v>
      </c>
      <c r="C94">
        <v>3</v>
      </c>
      <c r="D94" t="str">
        <f t="shared" si="1"/>
        <v>5-A-3</v>
      </c>
      <c r="F94">
        <v>1</v>
      </c>
      <c r="N94" s="56">
        <v>1</v>
      </c>
    </row>
    <row r="95" spans="1:16">
      <c r="A95">
        <v>5</v>
      </c>
      <c r="B95" t="s">
        <v>8</v>
      </c>
      <c r="C95">
        <v>1</v>
      </c>
      <c r="D95" t="str">
        <f t="shared" si="1"/>
        <v>5-C-1</v>
      </c>
      <c r="H95">
        <v>1</v>
      </c>
      <c r="I95" s="57">
        <v>1</v>
      </c>
    </row>
    <row r="96" spans="1:16">
      <c r="A96">
        <v>5</v>
      </c>
      <c r="B96" t="s">
        <v>8</v>
      </c>
      <c r="C96">
        <v>2</v>
      </c>
      <c r="D96" t="str">
        <f t="shared" si="1"/>
        <v>5-C-2</v>
      </c>
      <c r="H96">
        <v>1</v>
      </c>
      <c r="I96" s="57">
        <v>1</v>
      </c>
    </row>
    <row r="97" spans="1:16">
      <c r="A97">
        <v>5</v>
      </c>
      <c r="B97" t="s">
        <v>8</v>
      </c>
      <c r="C97">
        <v>3</v>
      </c>
      <c r="D97" t="str">
        <f t="shared" si="1"/>
        <v>5-C-3</v>
      </c>
      <c r="H97">
        <v>1</v>
      </c>
      <c r="I97" s="57">
        <v>1</v>
      </c>
    </row>
    <row r="98" spans="1:16">
      <c r="A98">
        <v>5</v>
      </c>
      <c r="B98" t="s">
        <v>9</v>
      </c>
      <c r="C98">
        <v>1</v>
      </c>
      <c r="D98" t="str">
        <f t="shared" si="1"/>
        <v>5-D-1</v>
      </c>
      <c r="H98">
        <v>1</v>
      </c>
      <c r="I98" s="57">
        <v>1</v>
      </c>
    </row>
    <row r="99" spans="1:16">
      <c r="A99">
        <v>5</v>
      </c>
      <c r="B99" t="s">
        <v>9</v>
      </c>
      <c r="C99">
        <v>2</v>
      </c>
      <c r="D99" t="str">
        <f t="shared" si="1"/>
        <v>5-D-2</v>
      </c>
      <c r="H99">
        <v>1</v>
      </c>
      <c r="I99" s="57">
        <v>1</v>
      </c>
    </row>
    <row r="100" spans="1:16">
      <c r="A100">
        <v>5</v>
      </c>
      <c r="B100" t="s">
        <v>9</v>
      </c>
      <c r="C100">
        <v>3</v>
      </c>
      <c r="D100" t="str">
        <f t="shared" si="1"/>
        <v>5-D-3</v>
      </c>
      <c r="H100">
        <v>1</v>
      </c>
      <c r="I100" s="57">
        <v>1</v>
      </c>
    </row>
    <row r="101" spans="1:16">
      <c r="A101">
        <v>5</v>
      </c>
      <c r="B101" t="s">
        <v>11</v>
      </c>
      <c r="C101">
        <v>1</v>
      </c>
      <c r="D101" t="str">
        <f t="shared" si="1"/>
        <v>5-F-1</v>
      </c>
      <c r="H101">
        <v>1</v>
      </c>
      <c r="I101" s="57">
        <v>1</v>
      </c>
    </row>
    <row r="102" spans="1:16">
      <c r="A102">
        <v>5</v>
      </c>
      <c r="B102" t="s">
        <v>11</v>
      </c>
      <c r="C102">
        <v>2</v>
      </c>
      <c r="D102" t="str">
        <f t="shared" si="1"/>
        <v>5-F-2</v>
      </c>
      <c r="H102">
        <v>1</v>
      </c>
      <c r="I102" s="57">
        <v>1</v>
      </c>
    </row>
    <row r="103" spans="1:16">
      <c r="A103">
        <v>5</v>
      </c>
      <c r="B103" t="s">
        <v>11</v>
      </c>
      <c r="C103">
        <v>3</v>
      </c>
      <c r="D103" t="str">
        <f t="shared" si="1"/>
        <v>5-F-3</v>
      </c>
      <c r="G103">
        <v>1</v>
      </c>
      <c r="P103" s="26">
        <v>1</v>
      </c>
    </row>
    <row r="104" spans="1:16">
      <c r="A104">
        <v>5</v>
      </c>
      <c r="B104" t="s">
        <v>12</v>
      </c>
      <c r="C104">
        <v>1</v>
      </c>
      <c r="D104" t="str">
        <f t="shared" si="1"/>
        <v>5-G-1</v>
      </c>
      <c r="H104">
        <v>1</v>
      </c>
      <c r="I104" s="57">
        <v>1</v>
      </c>
    </row>
    <row r="105" spans="1:16">
      <c r="A105">
        <v>5</v>
      </c>
      <c r="B105" t="s">
        <v>12</v>
      </c>
      <c r="C105">
        <v>2</v>
      </c>
      <c r="D105" t="str">
        <f t="shared" si="1"/>
        <v>5-G-2</v>
      </c>
      <c r="H105">
        <v>1</v>
      </c>
      <c r="I105" s="57">
        <v>1</v>
      </c>
    </row>
    <row r="106" spans="1:16">
      <c r="A106">
        <v>5</v>
      </c>
      <c r="B106" t="s">
        <v>12</v>
      </c>
      <c r="C106">
        <v>3</v>
      </c>
      <c r="D106" t="str">
        <f t="shared" si="1"/>
        <v>5-G-3</v>
      </c>
      <c r="H106">
        <v>1</v>
      </c>
      <c r="I106" s="57">
        <v>1</v>
      </c>
    </row>
    <row r="107" spans="1:16">
      <c r="A107">
        <v>5</v>
      </c>
      <c r="B107" t="s">
        <v>14</v>
      </c>
      <c r="C107">
        <v>1</v>
      </c>
      <c r="D107" t="str">
        <f t="shared" si="1"/>
        <v>5-I-1</v>
      </c>
      <c r="H107">
        <v>1</v>
      </c>
      <c r="I107" s="57">
        <v>1</v>
      </c>
    </row>
    <row r="108" spans="1:16">
      <c r="A108">
        <v>5</v>
      </c>
      <c r="B108" t="s">
        <v>14</v>
      </c>
      <c r="C108">
        <v>2</v>
      </c>
      <c r="D108" t="str">
        <f t="shared" si="1"/>
        <v>5-I-2</v>
      </c>
      <c r="H108">
        <v>1</v>
      </c>
      <c r="I108" s="57">
        <v>1</v>
      </c>
    </row>
    <row r="109" spans="1:16">
      <c r="A109">
        <v>5</v>
      </c>
      <c r="B109" t="s">
        <v>14</v>
      </c>
      <c r="C109">
        <v>3</v>
      </c>
      <c r="D109" t="str">
        <f t="shared" si="1"/>
        <v>5-I-3</v>
      </c>
      <c r="H109">
        <v>1</v>
      </c>
      <c r="I109" s="57">
        <v>1</v>
      </c>
    </row>
    <row r="110" spans="1:16">
      <c r="A110">
        <v>6</v>
      </c>
      <c r="B110" t="s">
        <v>6</v>
      </c>
      <c r="C110">
        <v>1</v>
      </c>
      <c r="D110" t="str">
        <f t="shared" si="1"/>
        <v>6-A-1</v>
      </c>
      <c r="H110">
        <v>1</v>
      </c>
      <c r="I110" s="57">
        <v>1</v>
      </c>
    </row>
    <row r="111" spans="1:16">
      <c r="A111">
        <v>6</v>
      </c>
      <c r="B111" t="s">
        <v>6</v>
      </c>
      <c r="C111">
        <v>2</v>
      </c>
      <c r="D111" t="str">
        <f t="shared" si="1"/>
        <v>6-A-2</v>
      </c>
      <c r="H111">
        <v>1</v>
      </c>
      <c r="I111" s="57">
        <v>1</v>
      </c>
    </row>
    <row r="112" spans="1:16">
      <c r="A112">
        <v>6</v>
      </c>
      <c r="B112" t="s">
        <v>6</v>
      </c>
      <c r="C112">
        <v>3</v>
      </c>
      <c r="D112" t="str">
        <f t="shared" si="1"/>
        <v>6-A-3</v>
      </c>
      <c r="G112">
        <v>1</v>
      </c>
      <c r="P112" s="26">
        <v>1</v>
      </c>
    </row>
    <row r="113" spans="1:17">
      <c r="A113">
        <v>6</v>
      </c>
      <c r="B113" t="s">
        <v>8</v>
      </c>
      <c r="C113">
        <v>1</v>
      </c>
      <c r="D113" t="str">
        <f t="shared" si="1"/>
        <v>6-C-1</v>
      </c>
      <c r="F113">
        <v>1</v>
      </c>
      <c r="N113" s="56">
        <v>1</v>
      </c>
    </row>
    <row r="114" spans="1:17">
      <c r="A114">
        <v>6</v>
      </c>
      <c r="B114" t="s">
        <v>8</v>
      </c>
      <c r="C114">
        <v>2</v>
      </c>
      <c r="D114" t="str">
        <f t="shared" si="1"/>
        <v>6-C-2</v>
      </c>
      <c r="H114">
        <v>1</v>
      </c>
      <c r="I114" s="57">
        <v>1</v>
      </c>
    </row>
    <row r="115" spans="1:17">
      <c r="A115">
        <v>6</v>
      </c>
      <c r="B115" t="s">
        <v>8</v>
      </c>
      <c r="C115">
        <v>3</v>
      </c>
      <c r="D115" t="str">
        <f t="shared" si="1"/>
        <v>6-C-3</v>
      </c>
      <c r="F115">
        <v>1</v>
      </c>
      <c r="Q115" s="26">
        <v>1</v>
      </c>
    </row>
    <row r="116" spans="1:17">
      <c r="A116">
        <v>6</v>
      </c>
      <c r="B116" t="s">
        <v>9</v>
      </c>
      <c r="C116">
        <v>1</v>
      </c>
      <c r="D116" t="str">
        <f t="shared" si="1"/>
        <v>6-D-1</v>
      </c>
      <c r="H116">
        <v>1</v>
      </c>
      <c r="I116" s="57">
        <v>1</v>
      </c>
    </row>
    <row r="117" spans="1:17">
      <c r="A117">
        <v>6</v>
      </c>
      <c r="B117" t="s">
        <v>9</v>
      </c>
      <c r="C117">
        <v>2</v>
      </c>
      <c r="D117" t="str">
        <f t="shared" si="1"/>
        <v>6-D-2</v>
      </c>
      <c r="H117">
        <v>1</v>
      </c>
      <c r="I117" s="57">
        <v>1</v>
      </c>
    </row>
    <row r="118" spans="1:17">
      <c r="A118">
        <v>6</v>
      </c>
      <c r="B118" t="s">
        <v>9</v>
      </c>
      <c r="C118">
        <v>3</v>
      </c>
      <c r="D118" t="str">
        <f t="shared" si="1"/>
        <v>6-D-3</v>
      </c>
      <c r="H118">
        <v>1</v>
      </c>
      <c r="I118" s="57">
        <v>1</v>
      </c>
    </row>
    <row r="119" spans="1:17">
      <c r="A119">
        <v>6</v>
      </c>
      <c r="B119" t="s">
        <v>11</v>
      </c>
      <c r="C119">
        <v>1</v>
      </c>
      <c r="D119" t="str">
        <f t="shared" si="1"/>
        <v>6-F-1</v>
      </c>
      <c r="H119">
        <v>1</v>
      </c>
      <c r="I119" s="57">
        <v>1</v>
      </c>
    </row>
    <row r="120" spans="1:17">
      <c r="A120">
        <v>6</v>
      </c>
      <c r="B120" t="s">
        <v>11</v>
      </c>
      <c r="C120">
        <v>2</v>
      </c>
      <c r="D120" t="str">
        <f t="shared" si="1"/>
        <v>6-F-2</v>
      </c>
      <c r="H120">
        <v>1</v>
      </c>
      <c r="I120" s="57">
        <v>1</v>
      </c>
    </row>
    <row r="121" spans="1:17">
      <c r="A121">
        <v>6</v>
      </c>
      <c r="B121" t="s">
        <v>11</v>
      </c>
      <c r="C121">
        <v>3</v>
      </c>
      <c r="D121" t="str">
        <f t="shared" si="1"/>
        <v>6-F-3</v>
      </c>
      <c r="F121">
        <v>1</v>
      </c>
      <c r="Q121" s="26">
        <v>1</v>
      </c>
    </row>
    <row r="122" spans="1:17">
      <c r="A122">
        <v>6</v>
      </c>
      <c r="B122" t="s">
        <v>12</v>
      </c>
      <c r="C122">
        <v>1</v>
      </c>
      <c r="D122" t="str">
        <f t="shared" si="1"/>
        <v>6-G-1</v>
      </c>
      <c r="H122">
        <v>1</v>
      </c>
      <c r="I122" s="57">
        <v>1</v>
      </c>
    </row>
    <row r="123" spans="1:17">
      <c r="A123">
        <v>6</v>
      </c>
      <c r="B123" t="s">
        <v>12</v>
      </c>
      <c r="C123">
        <v>2</v>
      </c>
      <c r="D123" t="str">
        <f t="shared" si="1"/>
        <v>6-G-2</v>
      </c>
      <c r="H123">
        <v>1</v>
      </c>
      <c r="I123" s="57">
        <v>1</v>
      </c>
    </row>
    <row r="124" spans="1:17">
      <c r="A124">
        <v>6</v>
      </c>
      <c r="B124" t="s">
        <v>12</v>
      </c>
      <c r="C124">
        <v>3</v>
      </c>
      <c r="D124" t="str">
        <f t="shared" si="1"/>
        <v>6-G-3</v>
      </c>
      <c r="H124">
        <v>1</v>
      </c>
      <c r="I124" s="57">
        <v>1</v>
      </c>
    </row>
    <row r="125" spans="1:17">
      <c r="A125">
        <v>6</v>
      </c>
      <c r="B125" t="s">
        <v>14</v>
      </c>
      <c r="C125">
        <v>1</v>
      </c>
      <c r="D125" t="str">
        <f t="shared" si="1"/>
        <v>6-I-1</v>
      </c>
      <c r="H125">
        <v>1</v>
      </c>
      <c r="I125" s="57">
        <v>1</v>
      </c>
    </row>
    <row r="126" spans="1:17">
      <c r="A126">
        <v>6</v>
      </c>
      <c r="B126" t="s">
        <v>14</v>
      </c>
      <c r="C126">
        <v>2</v>
      </c>
      <c r="D126" t="str">
        <f t="shared" si="1"/>
        <v>6-I-2</v>
      </c>
      <c r="H126">
        <v>1</v>
      </c>
      <c r="J126" s="57">
        <v>1</v>
      </c>
    </row>
    <row r="127" spans="1:17">
      <c r="A127">
        <v>6</v>
      </c>
      <c r="B127" t="s">
        <v>14</v>
      </c>
      <c r="C127">
        <v>3</v>
      </c>
      <c r="D127" t="str">
        <f t="shared" si="1"/>
        <v>6-I-3</v>
      </c>
      <c r="F127">
        <v>1</v>
      </c>
      <c r="Q127" s="26">
        <v>1</v>
      </c>
    </row>
    <row r="128" spans="1:17">
      <c r="A128">
        <v>7</v>
      </c>
      <c r="B128" t="s">
        <v>6</v>
      </c>
      <c r="C128">
        <v>1</v>
      </c>
      <c r="D128" t="str">
        <f t="shared" si="1"/>
        <v>7-A-1</v>
      </c>
      <c r="H128">
        <v>1</v>
      </c>
      <c r="I128" s="57">
        <v>1</v>
      </c>
    </row>
    <row r="129" spans="1:14">
      <c r="A129">
        <v>7</v>
      </c>
      <c r="B129" t="s">
        <v>6</v>
      </c>
      <c r="C129">
        <v>2</v>
      </c>
      <c r="D129" t="str">
        <f t="shared" si="1"/>
        <v>7-A-2</v>
      </c>
      <c r="H129">
        <v>1</v>
      </c>
      <c r="L129" s="55">
        <v>1</v>
      </c>
    </row>
    <row r="130" spans="1:14">
      <c r="A130">
        <v>7</v>
      </c>
      <c r="B130" t="s">
        <v>6</v>
      </c>
      <c r="C130">
        <v>3</v>
      </c>
      <c r="D130" t="str">
        <f t="shared" ref="D130:D163" si="2">A130&amp;"-"&amp;B130&amp;"-"&amp;C130</f>
        <v>7-A-3</v>
      </c>
      <c r="H130">
        <v>1</v>
      </c>
      <c r="L130" s="55">
        <v>1</v>
      </c>
    </row>
    <row r="131" spans="1:14">
      <c r="A131">
        <v>7</v>
      </c>
      <c r="B131" t="s">
        <v>8</v>
      </c>
      <c r="C131">
        <v>1</v>
      </c>
      <c r="D131" t="str">
        <f t="shared" si="2"/>
        <v>7-C-1</v>
      </c>
      <c r="H131">
        <v>1</v>
      </c>
      <c r="L131" s="55">
        <v>1</v>
      </c>
    </row>
    <row r="132" spans="1:14">
      <c r="A132">
        <v>7</v>
      </c>
      <c r="B132" t="s">
        <v>8</v>
      </c>
      <c r="C132">
        <v>2</v>
      </c>
      <c r="D132" t="str">
        <f t="shared" si="2"/>
        <v>7-C-2</v>
      </c>
      <c r="H132">
        <v>1</v>
      </c>
      <c r="L132" s="55">
        <v>1</v>
      </c>
    </row>
    <row r="133" spans="1:14">
      <c r="A133">
        <v>7</v>
      </c>
      <c r="B133" t="s">
        <v>8</v>
      </c>
      <c r="C133">
        <v>3</v>
      </c>
      <c r="D133" t="str">
        <f t="shared" si="2"/>
        <v>7-C-3</v>
      </c>
      <c r="H133">
        <v>1</v>
      </c>
      <c r="L133" s="55">
        <v>1</v>
      </c>
    </row>
    <row r="134" spans="1:14">
      <c r="A134">
        <v>7</v>
      </c>
      <c r="B134" t="s">
        <v>9</v>
      </c>
      <c r="C134">
        <v>1</v>
      </c>
      <c r="D134" t="str">
        <f t="shared" si="2"/>
        <v>7-D-1</v>
      </c>
      <c r="H134">
        <v>1</v>
      </c>
      <c r="L134" s="55">
        <v>1</v>
      </c>
    </row>
    <row r="135" spans="1:14">
      <c r="A135">
        <v>7</v>
      </c>
      <c r="B135" t="s">
        <v>9</v>
      </c>
      <c r="C135">
        <v>2</v>
      </c>
      <c r="D135" t="str">
        <f t="shared" si="2"/>
        <v>7-D-2</v>
      </c>
      <c r="H135">
        <v>1</v>
      </c>
      <c r="L135" s="55">
        <v>1</v>
      </c>
    </row>
    <row r="136" spans="1:14">
      <c r="A136">
        <v>7</v>
      </c>
      <c r="B136" t="s">
        <v>9</v>
      </c>
      <c r="C136">
        <v>3</v>
      </c>
      <c r="D136" t="str">
        <f t="shared" si="2"/>
        <v>7-D-3</v>
      </c>
      <c r="H136">
        <v>1</v>
      </c>
      <c r="L136" s="55">
        <v>1</v>
      </c>
    </row>
    <row r="137" spans="1:14">
      <c r="A137">
        <v>7</v>
      </c>
      <c r="B137" t="s">
        <v>11</v>
      </c>
      <c r="C137">
        <v>1</v>
      </c>
      <c r="D137" t="str">
        <f t="shared" si="2"/>
        <v>7-F-1</v>
      </c>
      <c r="H137">
        <v>1</v>
      </c>
      <c r="L137" s="55">
        <v>1</v>
      </c>
    </row>
    <row r="138" spans="1:14">
      <c r="A138">
        <v>7</v>
      </c>
      <c r="B138" t="s">
        <v>11</v>
      </c>
      <c r="C138">
        <v>2</v>
      </c>
      <c r="D138" t="str">
        <f t="shared" si="2"/>
        <v>7-F-2</v>
      </c>
      <c r="H138">
        <v>1</v>
      </c>
      <c r="L138" s="55">
        <v>1</v>
      </c>
    </row>
    <row r="139" spans="1:14">
      <c r="A139">
        <v>7</v>
      </c>
      <c r="B139" t="s">
        <v>11</v>
      </c>
      <c r="C139">
        <v>3</v>
      </c>
      <c r="D139" t="str">
        <f t="shared" si="2"/>
        <v>7-F-3</v>
      </c>
      <c r="H139">
        <v>1</v>
      </c>
      <c r="L139" s="55">
        <v>1</v>
      </c>
    </row>
    <row r="140" spans="1:14">
      <c r="A140">
        <v>7</v>
      </c>
      <c r="B140" t="s">
        <v>12</v>
      </c>
      <c r="C140">
        <v>1</v>
      </c>
      <c r="D140" t="str">
        <f t="shared" si="2"/>
        <v>7-G-1</v>
      </c>
      <c r="H140">
        <v>1</v>
      </c>
      <c r="I140" s="57">
        <v>1</v>
      </c>
    </row>
    <row r="141" spans="1:14">
      <c r="A141">
        <v>7</v>
      </c>
      <c r="B141" t="s">
        <v>12</v>
      </c>
      <c r="C141">
        <v>2</v>
      </c>
      <c r="D141" t="str">
        <f t="shared" si="2"/>
        <v>7-G-2</v>
      </c>
      <c r="G141">
        <v>1</v>
      </c>
      <c r="N141" s="56">
        <v>1</v>
      </c>
    </row>
    <row r="142" spans="1:14">
      <c r="A142">
        <v>7</v>
      </c>
      <c r="B142" t="s">
        <v>12</v>
      </c>
      <c r="C142">
        <v>3</v>
      </c>
      <c r="D142" t="str">
        <f t="shared" si="2"/>
        <v>7-G-3</v>
      </c>
      <c r="H142">
        <v>1</v>
      </c>
      <c r="I142" s="57">
        <v>1</v>
      </c>
    </row>
    <row r="143" spans="1:14">
      <c r="A143">
        <v>7</v>
      </c>
      <c r="B143" t="s">
        <v>14</v>
      </c>
      <c r="C143">
        <v>1</v>
      </c>
      <c r="D143" t="str">
        <f t="shared" si="2"/>
        <v>7-I-1</v>
      </c>
      <c r="H143">
        <v>1</v>
      </c>
      <c r="I143" s="57">
        <v>1</v>
      </c>
    </row>
    <row r="144" spans="1:14">
      <c r="A144">
        <v>7</v>
      </c>
      <c r="B144" t="s">
        <v>14</v>
      </c>
      <c r="C144">
        <v>2</v>
      </c>
      <c r="D144" t="str">
        <f t="shared" si="2"/>
        <v>7-I-2</v>
      </c>
      <c r="H144">
        <v>1</v>
      </c>
      <c r="I144" s="57">
        <v>1</v>
      </c>
    </row>
    <row r="145" spans="1:15">
      <c r="A145">
        <v>7</v>
      </c>
      <c r="B145" t="s">
        <v>14</v>
      </c>
      <c r="C145">
        <v>3</v>
      </c>
      <c r="D145" t="str">
        <f t="shared" si="2"/>
        <v>7-I-3</v>
      </c>
      <c r="G145">
        <v>1</v>
      </c>
      <c r="N145" s="56">
        <v>1</v>
      </c>
    </row>
    <row r="146" spans="1:15">
      <c r="A146">
        <v>8</v>
      </c>
      <c r="B146" t="s">
        <v>6</v>
      </c>
      <c r="C146">
        <v>1</v>
      </c>
      <c r="D146" t="str">
        <f t="shared" si="2"/>
        <v>8-A-1</v>
      </c>
      <c r="H146">
        <v>1</v>
      </c>
      <c r="I146" s="57">
        <v>1</v>
      </c>
    </row>
    <row r="147" spans="1:15">
      <c r="A147">
        <v>8</v>
      </c>
      <c r="B147" t="s">
        <v>6</v>
      </c>
      <c r="C147">
        <v>2</v>
      </c>
      <c r="D147" t="str">
        <f t="shared" si="2"/>
        <v>8-A-2</v>
      </c>
      <c r="F147">
        <v>1</v>
      </c>
      <c r="L147" s="55">
        <v>1</v>
      </c>
    </row>
    <row r="148" spans="1:15">
      <c r="A148">
        <v>8</v>
      </c>
      <c r="B148" t="s">
        <v>6</v>
      </c>
      <c r="C148">
        <v>3</v>
      </c>
      <c r="D148" t="str">
        <f t="shared" si="2"/>
        <v>8-A-3</v>
      </c>
      <c r="H148">
        <v>1</v>
      </c>
      <c r="I148" s="57">
        <v>1</v>
      </c>
    </row>
    <row r="149" spans="1:15">
      <c r="A149">
        <v>8</v>
      </c>
      <c r="B149" t="s">
        <v>8</v>
      </c>
      <c r="C149">
        <v>1</v>
      </c>
      <c r="D149" t="str">
        <f t="shared" si="2"/>
        <v>8-C-1</v>
      </c>
      <c r="F149">
        <v>1</v>
      </c>
      <c r="L149" s="55">
        <v>1</v>
      </c>
    </row>
    <row r="150" spans="1:15">
      <c r="A150">
        <v>8</v>
      </c>
      <c r="B150" t="s">
        <v>8</v>
      </c>
      <c r="C150">
        <v>2</v>
      </c>
      <c r="D150" t="str">
        <f t="shared" si="2"/>
        <v>8-C-2</v>
      </c>
      <c r="F150">
        <v>1</v>
      </c>
      <c r="L150" s="55">
        <v>1</v>
      </c>
    </row>
    <row r="151" spans="1:15">
      <c r="A151">
        <v>8</v>
      </c>
      <c r="B151" t="s">
        <v>8</v>
      </c>
      <c r="C151">
        <v>3</v>
      </c>
      <c r="D151" t="str">
        <f t="shared" si="2"/>
        <v>8-C-3</v>
      </c>
      <c r="H151">
        <v>1</v>
      </c>
      <c r="I151" s="57">
        <v>1</v>
      </c>
    </row>
    <row r="152" spans="1:15">
      <c r="A152">
        <v>8</v>
      </c>
      <c r="B152" t="s">
        <v>9</v>
      </c>
      <c r="C152">
        <v>1</v>
      </c>
      <c r="D152" t="str">
        <f t="shared" si="2"/>
        <v>8-D-1</v>
      </c>
      <c r="F152">
        <v>1</v>
      </c>
      <c r="O152" s="26">
        <v>1</v>
      </c>
    </row>
    <row r="153" spans="1:15">
      <c r="A153">
        <v>8</v>
      </c>
      <c r="B153" t="s">
        <v>9</v>
      </c>
      <c r="C153">
        <v>2</v>
      </c>
      <c r="D153" t="str">
        <f t="shared" si="2"/>
        <v>8-D-2</v>
      </c>
      <c r="H153">
        <v>1</v>
      </c>
      <c r="I153" s="57">
        <v>1</v>
      </c>
    </row>
    <row r="154" spans="1:15">
      <c r="A154">
        <v>8</v>
      </c>
      <c r="B154" t="s">
        <v>9</v>
      </c>
      <c r="C154">
        <v>3</v>
      </c>
      <c r="D154" t="str">
        <f t="shared" si="2"/>
        <v>8-D-3</v>
      </c>
      <c r="H154">
        <v>1</v>
      </c>
      <c r="I154" s="57">
        <v>1</v>
      </c>
    </row>
    <row r="155" spans="1:15">
      <c r="A155">
        <v>8</v>
      </c>
      <c r="B155" t="s">
        <v>11</v>
      </c>
      <c r="C155">
        <v>1</v>
      </c>
      <c r="D155" t="str">
        <f t="shared" si="2"/>
        <v>8-F-1</v>
      </c>
      <c r="H155">
        <v>1</v>
      </c>
      <c r="I155" s="57">
        <v>1</v>
      </c>
    </row>
    <row r="156" spans="1:15">
      <c r="A156">
        <v>8</v>
      </c>
      <c r="B156" t="s">
        <v>11</v>
      </c>
      <c r="C156">
        <v>2</v>
      </c>
      <c r="D156" t="str">
        <f t="shared" si="2"/>
        <v>8-F-2</v>
      </c>
      <c r="H156">
        <v>1</v>
      </c>
      <c r="I156" s="57">
        <v>1</v>
      </c>
    </row>
    <row r="157" spans="1:15">
      <c r="A157">
        <v>8</v>
      </c>
      <c r="B157" t="s">
        <v>11</v>
      </c>
      <c r="C157">
        <v>3</v>
      </c>
      <c r="D157" t="str">
        <f t="shared" si="2"/>
        <v>8-F-3</v>
      </c>
      <c r="H157">
        <v>1</v>
      </c>
      <c r="I157" s="57">
        <v>1</v>
      </c>
    </row>
    <row r="158" spans="1:15">
      <c r="A158">
        <v>8</v>
      </c>
      <c r="B158" t="s">
        <v>12</v>
      </c>
      <c r="C158">
        <v>1</v>
      </c>
      <c r="D158" t="str">
        <f t="shared" si="2"/>
        <v>8-G-1</v>
      </c>
      <c r="H158">
        <v>1</v>
      </c>
      <c r="I158" s="57">
        <v>1</v>
      </c>
    </row>
    <row r="159" spans="1:15">
      <c r="A159">
        <v>8</v>
      </c>
      <c r="B159" t="s">
        <v>12</v>
      </c>
      <c r="C159">
        <v>2</v>
      </c>
      <c r="D159" t="str">
        <f t="shared" si="2"/>
        <v>8-G-2</v>
      </c>
      <c r="H159">
        <v>1</v>
      </c>
      <c r="I159" s="57">
        <v>1</v>
      </c>
    </row>
    <row r="160" spans="1:15">
      <c r="A160">
        <v>8</v>
      </c>
      <c r="B160" t="s">
        <v>12</v>
      </c>
      <c r="C160">
        <v>3</v>
      </c>
      <c r="D160" t="str">
        <f t="shared" si="2"/>
        <v>8-G-3</v>
      </c>
      <c r="H160">
        <v>1</v>
      </c>
      <c r="I160" s="57">
        <v>1</v>
      </c>
    </row>
    <row r="161" spans="1:18">
      <c r="A161">
        <v>8</v>
      </c>
      <c r="B161" t="s">
        <v>14</v>
      </c>
      <c r="C161">
        <v>1</v>
      </c>
      <c r="D161" t="str">
        <f t="shared" si="2"/>
        <v>8-I-1</v>
      </c>
      <c r="H161">
        <v>1</v>
      </c>
      <c r="I161" s="57">
        <v>1</v>
      </c>
    </row>
    <row r="162" spans="1:18">
      <c r="A162">
        <v>8</v>
      </c>
      <c r="B162" t="s">
        <v>14</v>
      </c>
      <c r="C162">
        <v>2</v>
      </c>
      <c r="D162" t="str">
        <f t="shared" si="2"/>
        <v>8-I-2</v>
      </c>
      <c r="H162">
        <v>1</v>
      </c>
      <c r="I162" s="57">
        <v>1</v>
      </c>
    </row>
    <row r="163" spans="1:18">
      <c r="A163">
        <v>8</v>
      </c>
      <c r="B163" t="s">
        <v>14</v>
      </c>
      <c r="C163">
        <v>3</v>
      </c>
      <c r="D163" t="str">
        <f t="shared" si="2"/>
        <v>8-I-3</v>
      </c>
      <c r="H163">
        <v>1</v>
      </c>
      <c r="I163" s="57">
        <v>1</v>
      </c>
    </row>
    <row r="164" spans="1:18">
      <c r="A164" t="s">
        <v>37</v>
      </c>
      <c r="B164" t="s">
        <v>37</v>
      </c>
      <c r="C164" t="s">
        <v>37</v>
      </c>
      <c r="D164" t="s">
        <v>37</v>
      </c>
      <c r="E164">
        <f>SUM(E2:E163)</f>
        <v>0</v>
      </c>
      <c r="F164">
        <f t="shared" ref="F164:O164" si="3">SUM(F2:F163)</f>
        <v>22</v>
      </c>
      <c r="G164">
        <f t="shared" si="3"/>
        <v>10</v>
      </c>
      <c r="H164">
        <f t="shared" si="3"/>
        <v>130</v>
      </c>
      <c r="I164" s="57">
        <f t="shared" ref="I164:N164" si="4">SUM(I2:I163)</f>
        <v>113</v>
      </c>
      <c r="J164" s="57">
        <f t="shared" si="4"/>
        <v>2</v>
      </c>
      <c r="K164" s="54">
        <f t="shared" si="4"/>
        <v>0</v>
      </c>
      <c r="L164" s="55">
        <f t="shared" si="4"/>
        <v>14</v>
      </c>
      <c r="M164" s="55">
        <f t="shared" si="4"/>
        <v>0</v>
      </c>
      <c r="N164" s="56">
        <f t="shared" si="4"/>
        <v>11</v>
      </c>
      <c r="O164" s="26">
        <f t="shared" si="3"/>
        <v>1</v>
      </c>
      <c r="P164" s="26">
        <f>SUM(P2:P163)</f>
        <v>8</v>
      </c>
      <c r="Q164" s="26">
        <f>SUM(Q2:Q163)</f>
        <v>7</v>
      </c>
      <c r="R164" s="26">
        <f>SUM(R2:R163)</f>
        <v>2</v>
      </c>
    </row>
  </sheetData>
  <autoFilter ref="A1:R164" xr:uid="{BB563E77-EE44-42B3-ACD0-800B48D3E7DF}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CF044-81C6-4E47-B27E-6C86D662BE5D}">
  <sheetPr>
    <tabColor theme="8" tint="0.79998168889431442"/>
  </sheetPr>
  <dimension ref="A1:Q19"/>
  <sheetViews>
    <sheetView workbookViewId="0">
      <selection activeCell="Q5" sqref="Q5"/>
    </sheetView>
  </sheetViews>
  <sheetFormatPr defaultRowHeight="14.25"/>
  <cols>
    <col min="3" max="3" width="12.75" customWidth="1"/>
    <col min="4" max="4" width="17.5" customWidth="1"/>
    <col min="5" max="5" width="6.25" bestFit="1" customWidth="1"/>
    <col min="6" max="6" width="12.25" customWidth="1"/>
    <col min="7" max="7" width="19.125" bestFit="1" customWidth="1"/>
    <col min="8" max="11" width="18.25" customWidth="1"/>
    <col min="15" max="15" width="19.125" bestFit="1" customWidth="1"/>
    <col min="17" max="17" width="16" style="8" customWidth="1"/>
  </cols>
  <sheetData>
    <row r="1" spans="1:17">
      <c r="A1" s="24" t="s">
        <v>4</v>
      </c>
      <c r="B1" s="24" t="s">
        <v>0</v>
      </c>
      <c r="C1" s="24" t="s">
        <v>16</v>
      </c>
      <c r="D1" s="24" t="s">
        <v>21</v>
      </c>
      <c r="E1" s="24" t="s">
        <v>17</v>
      </c>
      <c r="F1" s="24" t="s">
        <v>69</v>
      </c>
      <c r="G1" s="24" t="s">
        <v>1</v>
      </c>
      <c r="H1" s="24" t="s">
        <v>62</v>
      </c>
      <c r="I1" s="24" t="s">
        <v>98</v>
      </c>
      <c r="J1" s="24" t="s">
        <v>96</v>
      </c>
      <c r="K1" s="24" t="s">
        <v>72</v>
      </c>
      <c r="L1" s="24" t="s">
        <v>18</v>
      </c>
      <c r="M1" s="24" t="s">
        <v>23</v>
      </c>
      <c r="N1" s="24" t="s">
        <v>71</v>
      </c>
      <c r="O1" s="24" t="s">
        <v>70</v>
      </c>
      <c r="P1" s="24" t="s">
        <v>33</v>
      </c>
      <c r="Q1" s="25" t="s">
        <v>34</v>
      </c>
    </row>
    <row r="2" spans="1:17">
      <c r="A2">
        <v>1</v>
      </c>
      <c r="B2">
        <f>SUMIF(result_20260622!$A:$A,sum_orient_20260622!$A2,INDEX(result_20260622!$A:$Z,0,MATCH(sum_orient_20260622!B$1,result_20260622!$1:$1,0)))</f>
        <v>0</v>
      </c>
      <c r="C2">
        <f>SUMIF(result_20260622!$A:$A,sum_orient_20260622!$A2,INDEX(result_20260622!$A:$Z,0,MATCH(sum_orient_20260622!C$1,result_20260622!$1:$1,0)))</f>
        <v>7</v>
      </c>
      <c r="D2">
        <f>SUMIF(result_20260622!$A:$A,sum_orient_20260622!$A2,INDEX(result_20260622!$A:$Z,0,MATCH(sum_orient_20260622!D$1,result_20260622!$1:$1,0)))</f>
        <v>1</v>
      </c>
      <c r="E2">
        <f>SUMIF(result_20260622!$A:$A,sum_orient_20260622!$A2,INDEX(result_20260622!$A:$Z,0,MATCH(sum_orient_20260622!E$1,result_20260622!$1:$1,0)))</f>
        <v>19</v>
      </c>
      <c r="F2">
        <f>SUMIF(result_20260622!$A:$A,sum_orient_20260622!$A2,INDEX(result_20260622!$A:$Z,0,MATCH(sum_orient_20260622!F$1,result_20260622!$1:$1,0)))</f>
        <v>0</v>
      </c>
      <c r="G2">
        <f>SUMIF(result_20260622!$A:$A,sum_orient_20260622!$A2,INDEX(result_20260622!$A:$Z,0,MATCH(sum_orient_20260622!G$1,result_20260622!$1:$1,0)))</f>
        <v>0</v>
      </c>
      <c r="H2">
        <f>SUMIF(result_20260622!$A:$A,sum_orient_20260622!$A2,INDEX(result_20260622!$A:$Z,0,MATCH(sum_orient_20260622!H$1,result_20260622!$1:$1,0)))</f>
        <v>16</v>
      </c>
      <c r="I2">
        <f>SUMIF(result_20260622!$A:$A,sum_orient_20260622!$A2,INDEX(result_20260622!$A:$Z,0,MATCH(sum_orient_20260622!I$1,result_20260622!$1:$1,0)))</f>
        <v>0</v>
      </c>
      <c r="J2">
        <f>SUMIF(result_20260622!$A:$A,sum_orient_20260622!$A2,INDEX(result_20260622!$A:$Z,0,MATCH(sum_orient_20260622!J$1,result_20260622!$1:$1,0)))</f>
        <v>0</v>
      </c>
      <c r="K2">
        <f>SUMIF(result_20260622!$A:$A,sum_orient_20260622!$A2,INDEX(result_20260622!$A:$Z,0,MATCH(sum_orient_20260622!K$1,result_20260622!$1:$1,0)))</f>
        <v>3</v>
      </c>
      <c r="L2">
        <f>SUMIF(result_20260622!$A:$A,sum_orient_20260622!$A2,INDEX(result_20260622!$A:$Z,0,MATCH(sum_orient_20260622!L$1,result_20260622!$1:$1,0)))</f>
        <v>3</v>
      </c>
      <c r="M2">
        <f>SUMIF(result_20260622!$A:$A,sum_orient_20260622!$A2,INDEX(result_20260622!$A:$Z,0,MATCH(sum_orient_20260622!M$1,result_20260622!$1:$1,0)))</f>
        <v>0</v>
      </c>
      <c r="N2">
        <f>SUMIF(result_20260622!$A:$A,sum_orient_20260622!$A2,INDEX(result_20260622!$A:$Z,0,MATCH(sum_orient_20260622!N$1,result_20260622!$1:$1,0)))</f>
        <v>0</v>
      </c>
      <c r="O2">
        <f>SUMIF(result_20260622!$A:$A,sum_orient_20260622!$A2,INDEX(result_20260622!$A:$Z,0,MATCH(sum_orient_20260622!O$1,result_20260622!$1:$1,0)))</f>
        <v>2</v>
      </c>
      <c r="P2">
        <f t="shared" ref="P2:P9" si="0">SUM(B2:E2)</f>
        <v>27</v>
      </c>
      <c r="Q2" s="8">
        <f t="shared" ref="Q2:Q10" si="1">SUM(B2+C2)/P2</f>
        <v>0.25925925925925924</v>
      </c>
    </row>
    <row r="3" spans="1:17">
      <c r="A3">
        <v>2</v>
      </c>
      <c r="B3">
        <f>SUMIF(result_20260622!$A:$A,sum_orient_20260622!$A3,INDEX(result_20260622!$A:$Z,0,MATCH(sum_orient_20260622!B$1,result_20260622!$1:$1,0)))</f>
        <v>0</v>
      </c>
      <c r="C3">
        <f>SUMIF(result_20260622!$A:$A,sum_orient_20260622!$A3,INDEX(result_20260622!$A:$Z,0,MATCH(sum_orient_20260622!C$1,result_20260622!$1:$1,0)))</f>
        <v>5</v>
      </c>
      <c r="D3">
        <f>SUMIF(result_20260622!$A:$A,sum_orient_20260622!$A3,INDEX(result_20260622!$A:$Z,0,MATCH(sum_orient_20260622!D$1,result_20260622!$1:$1,0)))</f>
        <v>1</v>
      </c>
      <c r="E3">
        <f>SUMIF(result_20260622!$A:$A,sum_orient_20260622!$A3,INDEX(result_20260622!$A:$Z,0,MATCH(sum_orient_20260622!E$1,result_20260622!$1:$1,0)))</f>
        <v>21</v>
      </c>
      <c r="F3">
        <f>SUMIF(result_20260622!$A:$A,sum_orient_20260622!$A3,INDEX(result_20260622!$A:$Z,0,MATCH(sum_orient_20260622!F$1,result_20260622!$1:$1,0)))</f>
        <v>0</v>
      </c>
      <c r="G3">
        <f>SUMIF(result_20260622!$A:$A,sum_orient_20260622!$A3,INDEX(result_20260622!$A:$Z,0,MATCH(sum_orient_20260622!G$1,result_20260622!$1:$1,0)))</f>
        <v>0</v>
      </c>
      <c r="H3">
        <f>SUMIF(result_20260622!$A:$A,sum_orient_20260622!$A3,INDEX(result_20260622!$A:$Z,0,MATCH(sum_orient_20260622!H$1,result_20260622!$1:$1,0)))</f>
        <v>20</v>
      </c>
      <c r="I3">
        <f>SUMIF(result_20260622!$A:$A,sum_orient_20260622!$A3,INDEX(result_20260622!$A:$Z,0,MATCH(sum_orient_20260622!I$1,result_20260622!$1:$1,0)))</f>
        <v>1</v>
      </c>
      <c r="J3">
        <f>SUMIF(result_20260622!$A:$A,sum_orient_20260622!$A3,INDEX(result_20260622!$A:$Z,0,MATCH(sum_orient_20260622!J$1,result_20260622!$1:$1,0)))</f>
        <v>2</v>
      </c>
      <c r="K3">
        <f>SUMIF(result_20260622!$A:$A,sum_orient_20260622!$A3,INDEX(result_20260622!$A:$Z,0,MATCH(sum_orient_20260622!K$1,result_20260622!$1:$1,0)))</f>
        <v>1</v>
      </c>
      <c r="L3">
        <f>SUMIF(result_20260622!$A:$A,sum_orient_20260622!$A3,INDEX(result_20260622!$A:$Z,0,MATCH(sum_orient_20260622!L$1,result_20260622!$1:$1,0)))</f>
        <v>3</v>
      </c>
      <c r="M3">
        <f>SUMIF(result_20260622!$A:$A,sum_orient_20260622!$A3,INDEX(result_20260622!$A:$Z,0,MATCH(sum_orient_20260622!M$1,result_20260622!$1:$1,0)))</f>
        <v>0</v>
      </c>
      <c r="N3">
        <f>SUMIF(result_20260622!$A:$A,sum_orient_20260622!$A3,INDEX(result_20260622!$A:$Z,0,MATCH(sum_orient_20260622!N$1,result_20260622!$1:$1,0)))</f>
        <v>0</v>
      </c>
      <c r="O3">
        <f>SUMIF(result_20260622!$A:$A,sum_orient_20260622!$A3,INDEX(result_20260622!$A:$Z,0,MATCH(sum_orient_20260622!O$1,result_20260622!$1:$1,0)))</f>
        <v>0</v>
      </c>
      <c r="P3">
        <f t="shared" si="0"/>
        <v>27</v>
      </c>
      <c r="Q3" s="8">
        <f t="shared" si="1"/>
        <v>0.18518518518518517</v>
      </c>
    </row>
    <row r="4" spans="1:17">
      <c r="A4">
        <v>3</v>
      </c>
      <c r="B4">
        <f>SUMIF(result_20260622!$A:$A,sum_orient_20260622!$A4,INDEX(result_20260622!$A:$Z,0,MATCH(sum_orient_20260622!B$1,result_20260622!$1:$1,0)))</f>
        <v>0</v>
      </c>
      <c r="C4">
        <f>SUMIF(result_20260622!$A:$A,sum_orient_20260622!$A4,INDEX(result_20260622!$A:$Z,0,MATCH(sum_orient_20260622!C$1,result_20260622!$1:$1,0)))</f>
        <v>0</v>
      </c>
      <c r="D4">
        <f>SUMIF(result_20260622!$A:$A,sum_orient_20260622!$A4,INDEX(result_20260622!$A:$Z,0,MATCH(sum_orient_20260622!D$1,result_20260622!$1:$1,0)))</f>
        <v>0</v>
      </c>
      <c r="E4">
        <f>SUMIF(result_20260622!$A:$A,sum_orient_20260622!$A4,INDEX(result_20260622!$A:$Z,0,MATCH(sum_orient_20260622!E$1,result_20260622!$1:$1,0)))</f>
        <v>18</v>
      </c>
      <c r="F4">
        <f>SUMIF(result_20260622!$A:$A,sum_orient_20260622!$A4,INDEX(result_20260622!$A:$Z,0,MATCH(sum_orient_20260622!F$1,result_20260622!$1:$1,0)))</f>
        <v>0</v>
      </c>
      <c r="G4">
        <f>SUMIF(result_20260622!$A:$A,sum_orient_20260622!$A4,INDEX(result_20260622!$A:$Z,0,MATCH(sum_orient_20260622!G$1,result_20260622!$1:$1,0)))</f>
        <v>0</v>
      </c>
      <c r="H4">
        <f>SUMIF(result_20260622!$A:$A,sum_orient_20260622!$A4,INDEX(result_20260622!$A:$Z,0,MATCH(sum_orient_20260622!H$1,result_20260622!$1:$1,0)))</f>
        <v>18</v>
      </c>
      <c r="I4">
        <f>SUMIF(result_20260622!$A:$A,sum_orient_20260622!$A4,INDEX(result_20260622!$A:$Z,0,MATCH(sum_orient_20260622!I$1,result_20260622!$1:$1,0)))</f>
        <v>0</v>
      </c>
      <c r="J4">
        <f>SUMIF(result_20260622!$A:$A,sum_orient_20260622!$A4,INDEX(result_20260622!$A:$Z,0,MATCH(sum_orient_20260622!J$1,result_20260622!$1:$1,0)))</f>
        <v>0</v>
      </c>
      <c r="K4">
        <f>SUMIF(result_20260622!$A:$A,sum_orient_20260622!$A4,INDEX(result_20260622!$A:$Z,0,MATCH(sum_orient_20260622!K$1,result_20260622!$1:$1,0)))</f>
        <v>0</v>
      </c>
      <c r="L4">
        <f>SUMIF(result_20260622!$A:$A,sum_orient_20260622!$A4,INDEX(result_20260622!$A:$Z,0,MATCH(sum_orient_20260622!L$1,result_20260622!$1:$1,0)))</f>
        <v>0</v>
      </c>
      <c r="M4">
        <f>SUMIF(result_20260622!$A:$A,sum_orient_20260622!$A4,INDEX(result_20260622!$A:$Z,0,MATCH(sum_orient_20260622!M$1,result_20260622!$1:$1,0)))</f>
        <v>0</v>
      </c>
      <c r="N4">
        <f>SUMIF(result_20260622!$A:$A,sum_orient_20260622!$A4,INDEX(result_20260622!$A:$Z,0,MATCH(sum_orient_20260622!N$1,result_20260622!$1:$1,0)))</f>
        <v>0</v>
      </c>
      <c r="O4">
        <f>SUMIF(result_20260622!$A:$A,sum_orient_20260622!$A4,INDEX(result_20260622!$A:$Z,0,MATCH(sum_orient_20260622!O$1,result_20260622!$1:$1,0)))</f>
        <v>0</v>
      </c>
      <c r="P4">
        <f t="shared" si="0"/>
        <v>18</v>
      </c>
      <c r="Q4" s="8">
        <f t="shared" si="1"/>
        <v>0</v>
      </c>
    </row>
    <row r="5" spans="1:17">
      <c r="A5">
        <v>4</v>
      </c>
      <c r="B5">
        <f>SUMIF(result_20260622!$A:$A,sum_orient_20260622!$A5,INDEX(result_20260622!$A:$Z,0,MATCH(sum_orient_20260622!B$1,result_20260622!$1:$1,0)))</f>
        <v>0</v>
      </c>
      <c r="C5">
        <f>SUMIF(result_20260622!$A:$A,sum_orient_20260622!$A5,INDEX(result_20260622!$A:$Z,0,MATCH(sum_orient_20260622!C$1,result_20260622!$1:$1,0)))</f>
        <v>0</v>
      </c>
      <c r="D5">
        <f>SUMIF(result_20260622!$A:$A,sum_orient_20260622!$A5,INDEX(result_20260622!$A:$Z,0,MATCH(sum_orient_20260622!D$1,result_20260622!$1:$1,0)))</f>
        <v>4</v>
      </c>
      <c r="E5">
        <f>SUMIF(result_20260622!$A:$A,sum_orient_20260622!$A5,INDEX(result_20260622!$A:$Z,0,MATCH(sum_orient_20260622!E$1,result_20260622!$1:$1,0)))</f>
        <v>14</v>
      </c>
      <c r="F5">
        <f>SUMIF(result_20260622!$A:$A,sum_orient_20260622!$A5,INDEX(result_20260622!$A:$Z,0,MATCH(sum_orient_20260622!F$1,result_20260622!$1:$1,0)))</f>
        <v>0</v>
      </c>
      <c r="G5">
        <f>SUMIF(result_20260622!$A:$A,sum_orient_20260622!$A5,INDEX(result_20260622!$A:$Z,0,MATCH(sum_orient_20260622!G$1,result_20260622!$1:$1,0)))</f>
        <v>0</v>
      </c>
      <c r="H5">
        <f>SUMIF(result_20260622!$A:$A,sum_orient_20260622!$A5,INDEX(result_20260622!$A:$Z,0,MATCH(sum_orient_20260622!H$1,result_20260622!$1:$1,0)))</f>
        <v>14</v>
      </c>
      <c r="I5">
        <f>SUMIF(result_20260622!$A:$A,sum_orient_20260622!$A5,INDEX(result_20260622!$A:$Z,0,MATCH(sum_orient_20260622!I$1,result_20260622!$1:$1,0)))</f>
        <v>0</v>
      </c>
      <c r="J5">
        <f>SUMIF(result_20260622!$A:$A,sum_orient_20260622!$A5,INDEX(result_20260622!$A:$Z,0,MATCH(sum_orient_20260622!J$1,result_20260622!$1:$1,0)))</f>
        <v>4</v>
      </c>
      <c r="K5">
        <f>SUMIF(result_20260622!$A:$A,sum_orient_20260622!$A5,INDEX(result_20260622!$A:$Z,0,MATCH(sum_orient_20260622!K$1,result_20260622!$1:$1,0)))</f>
        <v>0</v>
      </c>
      <c r="L5">
        <f>SUMIF(result_20260622!$A:$A,sum_orient_20260622!$A5,INDEX(result_20260622!$A:$Z,0,MATCH(sum_orient_20260622!L$1,result_20260622!$1:$1,0)))</f>
        <v>0</v>
      </c>
      <c r="M5">
        <f>SUMIF(result_20260622!$A:$A,sum_orient_20260622!$A5,INDEX(result_20260622!$A:$Z,0,MATCH(sum_orient_20260622!M$1,result_20260622!$1:$1,0)))</f>
        <v>0</v>
      </c>
      <c r="N5">
        <f>SUMIF(result_20260622!$A:$A,sum_orient_20260622!$A5,INDEX(result_20260622!$A:$Z,0,MATCH(sum_orient_20260622!N$1,result_20260622!$1:$1,0)))</f>
        <v>0</v>
      </c>
      <c r="O5">
        <f>SUMIF(result_20260622!$A:$A,sum_orient_20260622!$A5,INDEX(result_20260622!$A:$Z,0,MATCH(sum_orient_20260622!O$1,result_20260622!$1:$1,0)))</f>
        <v>0</v>
      </c>
      <c r="P5">
        <f t="shared" si="0"/>
        <v>18</v>
      </c>
      <c r="Q5" s="8">
        <f t="shared" si="1"/>
        <v>0</v>
      </c>
    </row>
    <row r="6" spans="1:17">
      <c r="A6">
        <v>5</v>
      </c>
      <c r="B6">
        <f>SUMIF(result_20260622!$A:$A,sum_orient_20260622!$A6,INDEX(result_20260622!$A:$Z,0,MATCH(sum_orient_20260622!B$1,result_20260622!$1:$1,0)))</f>
        <v>0</v>
      </c>
      <c r="C6">
        <f>SUMIF(result_20260622!$A:$A,sum_orient_20260622!$A6,INDEX(result_20260622!$A:$Z,0,MATCH(sum_orient_20260622!C$1,result_20260622!$1:$1,0)))</f>
        <v>2</v>
      </c>
      <c r="D6">
        <f>SUMIF(result_20260622!$A:$A,sum_orient_20260622!$A6,INDEX(result_20260622!$A:$Z,0,MATCH(sum_orient_20260622!D$1,result_20260622!$1:$1,0)))</f>
        <v>1</v>
      </c>
      <c r="E6">
        <f>SUMIF(result_20260622!$A:$A,sum_orient_20260622!$A6,INDEX(result_20260622!$A:$Z,0,MATCH(sum_orient_20260622!E$1,result_20260622!$1:$1,0)))</f>
        <v>15</v>
      </c>
      <c r="F6">
        <f>SUMIF(result_20260622!$A:$A,sum_orient_20260622!$A6,INDEX(result_20260622!$A:$Z,0,MATCH(sum_orient_20260622!F$1,result_20260622!$1:$1,0)))</f>
        <v>0</v>
      </c>
      <c r="G6">
        <f>SUMIF(result_20260622!$A:$A,sum_orient_20260622!$A6,INDEX(result_20260622!$A:$Z,0,MATCH(sum_orient_20260622!G$1,result_20260622!$1:$1,0)))</f>
        <v>0</v>
      </c>
      <c r="H6">
        <f>SUMIF(result_20260622!$A:$A,sum_orient_20260622!$A6,INDEX(result_20260622!$A:$Z,0,MATCH(sum_orient_20260622!H$1,result_20260622!$1:$1,0)))</f>
        <v>14</v>
      </c>
      <c r="I6">
        <f>SUMIF(result_20260622!$A:$A,sum_orient_20260622!$A6,INDEX(result_20260622!$A:$Z,0,MATCH(sum_orient_20260622!I$1,result_20260622!$1:$1,0)))</f>
        <v>0</v>
      </c>
      <c r="J6">
        <f>SUMIF(result_20260622!$A:$A,sum_orient_20260622!$A6,INDEX(result_20260622!$A:$Z,0,MATCH(sum_orient_20260622!J$1,result_20260622!$1:$1,0)))</f>
        <v>1</v>
      </c>
      <c r="K6">
        <f>SUMIF(result_20260622!$A:$A,sum_orient_20260622!$A6,INDEX(result_20260622!$A:$Z,0,MATCH(sum_orient_20260622!K$1,result_20260622!$1:$1,0)))</f>
        <v>0</v>
      </c>
      <c r="L6">
        <f>SUMIF(result_20260622!$A:$A,sum_orient_20260622!$A6,INDEX(result_20260622!$A:$Z,0,MATCH(sum_orient_20260622!L$1,result_20260622!$1:$1,0)))</f>
        <v>2</v>
      </c>
      <c r="M6">
        <f>SUMIF(result_20260622!$A:$A,sum_orient_20260622!$A6,INDEX(result_20260622!$A:$Z,0,MATCH(sum_orient_20260622!M$1,result_20260622!$1:$1,0)))</f>
        <v>0</v>
      </c>
      <c r="N6">
        <f>SUMIF(result_20260622!$A:$A,sum_orient_20260622!$A6,INDEX(result_20260622!$A:$Z,0,MATCH(sum_orient_20260622!N$1,result_20260622!$1:$1,0)))</f>
        <v>0</v>
      </c>
      <c r="O6">
        <f>SUMIF(result_20260622!$A:$A,sum_orient_20260622!$A6,INDEX(result_20260622!$A:$Z,0,MATCH(sum_orient_20260622!O$1,result_20260622!$1:$1,0)))</f>
        <v>0</v>
      </c>
      <c r="P6">
        <f t="shared" si="0"/>
        <v>18</v>
      </c>
      <c r="Q6" s="8">
        <f t="shared" si="1"/>
        <v>0.1111111111111111</v>
      </c>
    </row>
    <row r="7" spans="1:17">
      <c r="A7">
        <v>6</v>
      </c>
      <c r="B7">
        <f>SUMIF(result_20260622!$A:$A,sum_orient_20260622!$A7,INDEX(result_20260622!$A:$Z,0,MATCH(sum_orient_20260622!B$1,result_20260622!$1:$1,0)))</f>
        <v>0</v>
      </c>
      <c r="C7">
        <f>SUMIF(result_20260622!$A:$A,sum_orient_20260622!$A7,INDEX(result_20260622!$A:$Z,0,MATCH(sum_orient_20260622!C$1,result_20260622!$1:$1,0)))</f>
        <v>4</v>
      </c>
      <c r="D7">
        <f>SUMIF(result_20260622!$A:$A,sum_orient_20260622!$A7,INDEX(result_20260622!$A:$Z,0,MATCH(sum_orient_20260622!D$1,result_20260622!$1:$1,0)))</f>
        <v>1</v>
      </c>
      <c r="E7">
        <f>SUMIF(result_20260622!$A:$A,sum_orient_20260622!$A7,INDEX(result_20260622!$A:$Z,0,MATCH(sum_orient_20260622!E$1,result_20260622!$1:$1,0)))</f>
        <v>13</v>
      </c>
      <c r="F7">
        <f>SUMIF(result_20260622!$A:$A,sum_orient_20260622!$A7,INDEX(result_20260622!$A:$Z,0,MATCH(sum_orient_20260622!F$1,result_20260622!$1:$1,0)))</f>
        <v>0</v>
      </c>
      <c r="G7">
        <f>SUMIF(result_20260622!$A:$A,sum_orient_20260622!$A7,INDEX(result_20260622!$A:$Z,0,MATCH(sum_orient_20260622!G$1,result_20260622!$1:$1,0)))</f>
        <v>0</v>
      </c>
      <c r="H7">
        <f>SUMIF(result_20260622!$A:$A,sum_orient_20260622!$A7,INDEX(result_20260622!$A:$Z,0,MATCH(sum_orient_20260622!H$1,result_20260622!$1:$1,0)))</f>
        <v>12</v>
      </c>
      <c r="I7">
        <f>SUMIF(result_20260622!$A:$A,sum_orient_20260622!$A7,INDEX(result_20260622!$A:$Z,0,MATCH(sum_orient_20260622!I$1,result_20260622!$1:$1,0)))</f>
        <v>1</v>
      </c>
      <c r="J7">
        <f>SUMIF(result_20260622!$A:$A,sum_orient_20260622!$A7,INDEX(result_20260622!$A:$Z,0,MATCH(sum_orient_20260622!J$1,result_20260622!$1:$1,0)))</f>
        <v>1</v>
      </c>
      <c r="K7">
        <f>SUMIF(result_20260622!$A:$A,sum_orient_20260622!$A7,INDEX(result_20260622!$A:$Z,0,MATCH(sum_orient_20260622!K$1,result_20260622!$1:$1,0)))</f>
        <v>3</v>
      </c>
      <c r="L7">
        <f>SUMIF(result_20260622!$A:$A,sum_orient_20260622!$A7,INDEX(result_20260622!$A:$Z,0,MATCH(sum_orient_20260622!L$1,result_20260622!$1:$1,0)))</f>
        <v>1</v>
      </c>
      <c r="M7">
        <f>SUMIF(result_20260622!$A:$A,sum_orient_20260622!$A7,INDEX(result_20260622!$A:$Z,0,MATCH(sum_orient_20260622!M$1,result_20260622!$1:$1,0)))</f>
        <v>0</v>
      </c>
      <c r="N7">
        <f>SUMIF(result_20260622!$A:$A,sum_orient_20260622!$A7,INDEX(result_20260622!$A:$Z,0,MATCH(sum_orient_20260622!N$1,result_20260622!$1:$1,0)))</f>
        <v>0</v>
      </c>
      <c r="O7">
        <f>SUMIF(result_20260622!$A:$A,sum_orient_20260622!$A7,INDEX(result_20260622!$A:$Z,0,MATCH(sum_orient_20260622!O$1,result_20260622!$1:$1,0)))</f>
        <v>0</v>
      </c>
      <c r="P7">
        <f t="shared" si="0"/>
        <v>18</v>
      </c>
      <c r="Q7" s="8">
        <f t="shared" si="1"/>
        <v>0.22222222222222221</v>
      </c>
    </row>
    <row r="8" spans="1:17">
      <c r="A8">
        <v>7</v>
      </c>
      <c r="B8">
        <f>SUMIF(result_20260622!$A:$A,sum_orient_20260622!$A8,INDEX(result_20260622!$A:$Z,0,MATCH(sum_orient_20260622!B$1,result_20260622!$1:$1,0)))</f>
        <v>0</v>
      </c>
      <c r="C8">
        <f>SUMIF(result_20260622!$A:$A,sum_orient_20260622!$A8,INDEX(result_20260622!$A:$Z,0,MATCH(sum_orient_20260622!C$1,result_20260622!$1:$1,0)))</f>
        <v>0</v>
      </c>
      <c r="D8">
        <f>SUMIF(result_20260622!$A:$A,sum_orient_20260622!$A8,INDEX(result_20260622!$A:$Z,0,MATCH(sum_orient_20260622!D$1,result_20260622!$1:$1,0)))</f>
        <v>2</v>
      </c>
      <c r="E8">
        <f>SUMIF(result_20260622!$A:$A,sum_orient_20260622!$A8,INDEX(result_20260622!$A:$Z,0,MATCH(sum_orient_20260622!E$1,result_20260622!$1:$1,0)))</f>
        <v>16</v>
      </c>
      <c r="F8">
        <f>SUMIF(result_20260622!$A:$A,sum_orient_20260622!$A8,INDEX(result_20260622!$A:$Z,0,MATCH(sum_orient_20260622!F$1,result_20260622!$1:$1,0)))</f>
        <v>0</v>
      </c>
      <c r="G8">
        <f>SUMIF(result_20260622!$A:$A,sum_orient_20260622!$A8,INDEX(result_20260622!$A:$Z,0,MATCH(sum_orient_20260622!G$1,result_20260622!$1:$1,0)))</f>
        <v>0</v>
      </c>
      <c r="H8">
        <f>SUMIF(result_20260622!$A:$A,sum_orient_20260622!$A8,INDEX(result_20260622!$A:$Z,0,MATCH(sum_orient_20260622!H$1,result_20260622!$1:$1,0)))</f>
        <v>5</v>
      </c>
      <c r="I8">
        <f>SUMIF(result_20260622!$A:$A,sum_orient_20260622!$A8,INDEX(result_20260622!$A:$Z,0,MATCH(sum_orient_20260622!I$1,result_20260622!$1:$1,0)))</f>
        <v>0</v>
      </c>
      <c r="J8">
        <f>SUMIF(result_20260622!$A:$A,sum_orient_20260622!$A8,INDEX(result_20260622!$A:$Z,0,MATCH(sum_orient_20260622!J$1,result_20260622!$1:$1,0)))</f>
        <v>0</v>
      </c>
      <c r="K8">
        <f>SUMIF(result_20260622!$A:$A,sum_orient_20260622!$A8,INDEX(result_20260622!$A:$Z,0,MATCH(sum_orient_20260622!K$1,result_20260622!$1:$1,0)))</f>
        <v>0</v>
      </c>
      <c r="L8">
        <f>SUMIF(result_20260622!$A:$A,sum_orient_20260622!$A8,INDEX(result_20260622!$A:$Z,0,MATCH(sum_orient_20260622!L$1,result_20260622!$1:$1,0)))</f>
        <v>2</v>
      </c>
      <c r="M8">
        <f>SUMIF(result_20260622!$A:$A,sum_orient_20260622!$A8,INDEX(result_20260622!$A:$Z,0,MATCH(sum_orient_20260622!M$1,result_20260622!$1:$1,0)))</f>
        <v>11</v>
      </c>
      <c r="N8">
        <f>SUMIF(result_20260622!$A:$A,sum_orient_20260622!$A8,INDEX(result_20260622!$A:$Z,0,MATCH(sum_orient_20260622!N$1,result_20260622!$1:$1,0)))</f>
        <v>0</v>
      </c>
      <c r="O8">
        <f>SUMIF(result_20260622!$A:$A,sum_orient_20260622!$A8,INDEX(result_20260622!$A:$Z,0,MATCH(sum_orient_20260622!O$1,result_20260622!$1:$1,0)))</f>
        <v>0</v>
      </c>
      <c r="P8">
        <f t="shared" si="0"/>
        <v>18</v>
      </c>
      <c r="Q8" s="8">
        <f t="shared" si="1"/>
        <v>0</v>
      </c>
    </row>
    <row r="9" spans="1:17">
      <c r="A9">
        <v>8</v>
      </c>
      <c r="B9">
        <f>SUMIF(result_20260622!$A:$A,sum_orient_20260622!$A9,INDEX(result_20260622!$A:$Z,0,MATCH(sum_orient_20260622!B$1,result_20260622!$1:$1,0)))</f>
        <v>0</v>
      </c>
      <c r="C9">
        <f>SUMIF(result_20260622!$A:$A,sum_orient_20260622!$A9,INDEX(result_20260622!$A:$Z,0,MATCH(sum_orient_20260622!C$1,result_20260622!$1:$1,0)))</f>
        <v>4</v>
      </c>
      <c r="D9">
        <f>SUMIF(result_20260622!$A:$A,sum_orient_20260622!$A9,INDEX(result_20260622!$A:$Z,0,MATCH(sum_orient_20260622!D$1,result_20260622!$1:$1,0)))</f>
        <v>0</v>
      </c>
      <c r="E9">
        <f>SUMIF(result_20260622!$A:$A,sum_orient_20260622!$A9,INDEX(result_20260622!$A:$Z,0,MATCH(sum_orient_20260622!E$1,result_20260622!$1:$1,0)))</f>
        <v>14</v>
      </c>
      <c r="F9">
        <f>SUMIF(result_20260622!$A:$A,sum_orient_20260622!$A9,INDEX(result_20260622!$A:$Z,0,MATCH(sum_orient_20260622!F$1,result_20260622!$1:$1,0)))</f>
        <v>1</v>
      </c>
      <c r="G9">
        <f>SUMIF(result_20260622!$A:$A,sum_orient_20260622!$A9,INDEX(result_20260622!$A:$Z,0,MATCH(sum_orient_20260622!G$1,result_20260622!$1:$1,0)))</f>
        <v>0</v>
      </c>
      <c r="H9">
        <f>SUMIF(result_20260622!$A:$A,sum_orient_20260622!$A9,INDEX(result_20260622!$A:$Z,0,MATCH(sum_orient_20260622!H$1,result_20260622!$1:$1,0)))</f>
        <v>14</v>
      </c>
      <c r="I9">
        <f>SUMIF(result_20260622!$A:$A,sum_orient_20260622!$A9,INDEX(result_20260622!$A:$Z,0,MATCH(sum_orient_20260622!I$1,result_20260622!$1:$1,0)))</f>
        <v>0</v>
      </c>
      <c r="J9">
        <f>SUMIF(result_20260622!$A:$A,sum_orient_20260622!$A9,INDEX(result_20260622!$A:$Z,0,MATCH(sum_orient_20260622!J$1,result_20260622!$1:$1,0)))</f>
        <v>0</v>
      </c>
      <c r="K9">
        <f>SUMIF(result_20260622!$A:$A,sum_orient_20260622!$A9,INDEX(result_20260622!$A:$Z,0,MATCH(sum_orient_20260622!K$1,result_20260622!$1:$1,0)))</f>
        <v>0</v>
      </c>
      <c r="L9">
        <f>SUMIF(result_20260622!$A:$A,sum_orient_20260622!$A9,INDEX(result_20260622!$A:$Z,0,MATCH(sum_orient_20260622!L$1,result_20260622!$1:$1,0)))</f>
        <v>0</v>
      </c>
      <c r="M9">
        <f>SUMIF(result_20260622!$A:$A,sum_orient_20260622!$A9,INDEX(result_20260622!$A:$Z,0,MATCH(sum_orient_20260622!M$1,result_20260622!$1:$1,0)))</f>
        <v>3</v>
      </c>
      <c r="N9">
        <f>SUMIF(result_20260622!$A:$A,sum_orient_20260622!$A9,INDEX(result_20260622!$A:$Z,0,MATCH(sum_orient_20260622!N$1,result_20260622!$1:$1,0)))</f>
        <v>0</v>
      </c>
      <c r="O9">
        <f>SUMIF(result_20260622!$A:$A,sum_orient_20260622!$A9,INDEX(result_20260622!$A:$Z,0,MATCH(sum_orient_20260622!O$1,result_20260622!$1:$1,0)))</f>
        <v>0</v>
      </c>
      <c r="P9">
        <f t="shared" si="0"/>
        <v>18</v>
      </c>
      <c r="Q9" s="8">
        <f t="shared" si="1"/>
        <v>0.22222222222222221</v>
      </c>
    </row>
    <row r="10" spans="1:17">
      <c r="A10" s="24" t="s">
        <v>35</v>
      </c>
      <c r="B10" s="24">
        <f>SUM(B2:B9)</f>
        <v>0</v>
      </c>
      <c r="C10" s="24">
        <f t="shared" ref="C10:P10" si="2">SUM(C2:C9)</f>
        <v>22</v>
      </c>
      <c r="D10" s="24">
        <f t="shared" si="2"/>
        <v>10</v>
      </c>
      <c r="E10" s="24">
        <f t="shared" si="2"/>
        <v>130</v>
      </c>
      <c r="F10" s="24">
        <f t="shared" si="2"/>
        <v>1</v>
      </c>
      <c r="G10" s="24">
        <f t="shared" si="2"/>
        <v>0</v>
      </c>
      <c r="H10" s="24">
        <f t="shared" si="2"/>
        <v>113</v>
      </c>
      <c r="I10" s="24">
        <f t="shared" si="2"/>
        <v>2</v>
      </c>
      <c r="J10" s="24">
        <f t="shared" si="2"/>
        <v>8</v>
      </c>
      <c r="K10" s="24">
        <f t="shared" si="2"/>
        <v>7</v>
      </c>
      <c r="L10" s="24">
        <f t="shared" si="2"/>
        <v>11</v>
      </c>
      <c r="M10" s="24">
        <f t="shared" si="2"/>
        <v>14</v>
      </c>
      <c r="N10" s="24">
        <f t="shared" si="2"/>
        <v>0</v>
      </c>
      <c r="O10" s="24">
        <f t="shared" si="2"/>
        <v>2</v>
      </c>
      <c r="P10" s="24">
        <f t="shared" si="2"/>
        <v>162</v>
      </c>
      <c r="Q10" s="25">
        <f t="shared" si="1"/>
        <v>0.13580246913580246</v>
      </c>
    </row>
    <row r="12" spans="1:17">
      <c r="A12" t="s">
        <v>73</v>
      </c>
    </row>
    <row r="13" spans="1:17">
      <c r="A13" s="24" t="s">
        <v>4</v>
      </c>
      <c r="B13" s="24" t="s">
        <v>0</v>
      </c>
      <c r="C13" s="24" t="s">
        <v>16</v>
      </c>
      <c r="D13" s="24" t="s">
        <v>21</v>
      </c>
      <c r="E13" s="24" t="s">
        <v>17</v>
      </c>
      <c r="F13" s="24" t="s">
        <v>69</v>
      </c>
      <c r="G13" s="24" t="s">
        <v>1</v>
      </c>
      <c r="H13" s="24" t="s">
        <v>62</v>
      </c>
      <c r="I13" s="24" t="s">
        <v>98</v>
      </c>
      <c r="J13" s="24" t="s">
        <v>96</v>
      </c>
      <c r="K13" s="24" t="s">
        <v>72</v>
      </c>
      <c r="L13" s="24" t="s">
        <v>18</v>
      </c>
      <c r="M13" s="24" t="s">
        <v>23</v>
      </c>
      <c r="N13" s="24" t="s">
        <v>71</v>
      </c>
      <c r="O13" s="24" t="s">
        <v>70</v>
      </c>
      <c r="P13" s="24" t="s">
        <v>33</v>
      </c>
      <c r="Q13" s="25" t="s">
        <v>34</v>
      </c>
    </row>
    <row r="14" spans="1:17">
      <c r="A14">
        <v>1</v>
      </c>
      <c r="B14">
        <f>SUMIF(result_20260622!$A:$A,sum_orient_20260622!$A14,INDEX(result_20260622!$A:$Z,0,MATCH(sum_orient_20260622!B$1,result_20260622!$1:$1,0)))</f>
        <v>0</v>
      </c>
      <c r="C14">
        <f>SUMIF(result_20260622!$A:$A,sum_orient_20260622!$A14,INDEX(result_20260622!$A:$Z,0,MATCH(sum_orient_20260622!C$1,result_20260622!$1:$1,0)))</f>
        <v>7</v>
      </c>
      <c r="D14">
        <f>SUMIF(result_20260622!$A:$A,sum_orient_20260622!$A14,INDEX(result_20260622!$A:$Z,0,MATCH(sum_orient_20260622!D$1,result_20260622!$1:$1,0)))</f>
        <v>1</v>
      </c>
      <c r="E14">
        <f>SUMIF(result_20260622!$A:$A,sum_orient_20260622!$A14,INDEX(result_20260622!$A:$Z,0,MATCH(sum_orient_20260622!E$1,result_20260622!$1:$1,0)))</f>
        <v>19</v>
      </c>
      <c r="F14">
        <f>SUMIF(result_20260622!$A:$A,sum_orient_20260622!$A14,INDEX(result_20260622!$A:$Z,0,MATCH(sum_orient_20260622!F$1,result_20260622!$1:$1,0)))</f>
        <v>0</v>
      </c>
      <c r="G14">
        <f>SUMIF(result_20260622!$A:$A,sum_orient_20260622!$A14,INDEX(result_20260622!$A:$Z,0,MATCH(sum_orient_20260622!G$1,result_20260622!$1:$1,0)))</f>
        <v>0</v>
      </c>
      <c r="H14">
        <f>SUMIF(result_20260622!$A:$A,sum_orient_20260622!$A14,INDEX(result_20260622!$A:$Z,0,MATCH(sum_orient_20260622!H$1,result_20260622!$1:$1,0)))</f>
        <v>16</v>
      </c>
      <c r="I14">
        <f>SUMIF(result_20260622!$A:$A,sum_orient_20260622!$A14,INDEX(result_20260622!$A:$Z,0,MATCH(sum_orient_20260622!I$1,result_20260622!$1:$1,0)))</f>
        <v>0</v>
      </c>
      <c r="J14">
        <f>SUMIF(result_20260622!$A:$A,sum_orient_20260622!$A14,INDEX(result_20260622!$A:$Z,0,MATCH(sum_orient_20260622!J$1,result_20260622!$1:$1,0)))</f>
        <v>0</v>
      </c>
      <c r="K14">
        <f>SUMIF(result_20260622!$A:$A,sum_orient_20260622!$A14,INDEX(result_20260622!$A:$Z,0,MATCH(sum_orient_20260622!K$1,result_20260622!$1:$1,0)))</f>
        <v>3</v>
      </c>
      <c r="L14">
        <f>SUMIF(result_20260622!$A:$A,sum_orient_20260622!$A14,INDEX(result_20260622!$A:$Z,0,MATCH(sum_orient_20260622!L$1,result_20260622!$1:$1,0)))</f>
        <v>3</v>
      </c>
      <c r="M14">
        <f>SUMIF(result_20260622!$A:$A,sum_orient_20260622!$A14,INDEX(result_20260622!$A:$Z,0,MATCH(sum_orient_20260622!M$1,result_20260622!$1:$1,0)))</f>
        <v>0</v>
      </c>
      <c r="N14">
        <f>SUMIF(result_20260622!$A:$A,sum_orient_20260622!$A14,INDEX(result_20260622!$A:$Z,0,MATCH(sum_orient_20260622!N$1,result_20260622!$1:$1,0)))</f>
        <v>0</v>
      </c>
      <c r="O14">
        <f>SUMIF(result_20260622!$A:$A,sum_orient_20260622!$A14,INDEX(result_20260622!$A:$Z,0,MATCH(sum_orient_20260622!O$1,result_20260622!$1:$1,0)))</f>
        <v>2</v>
      </c>
      <c r="P14">
        <f>SUM(B14:E14)</f>
        <v>27</v>
      </c>
      <c r="Q14" s="8">
        <f t="shared" ref="Q14:Q19" si="3">SUM(B14+C14)/P14</f>
        <v>0.25925925925925924</v>
      </c>
    </row>
    <row r="15" spans="1:17">
      <c r="A15">
        <v>2</v>
      </c>
      <c r="B15">
        <f>SUMIF(result_20260622!$A:$A,sum_orient_20260622!$A15,INDEX(result_20260622!$A:$Z,0,MATCH(sum_orient_20260622!B$1,result_20260622!$1:$1,0)))</f>
        <v>0</v>
      </c>
      <c r="C15">
        <f>SUMIF(result_20260622!$A:$A,sum_orient_20260622!$A15,INDEX(result_20260622!$A:$Z,0,MATCH(sum_orient_20260622!C$1,result_20260622!$1:$1,0)))</f>
        <v>5</v>
      </c>
      <c r="D15">
        <f>SUMIF(result_20260622!$A:$A,sum_orient_20260622!$A15,INDEX(result_20260622!$A:$Z,0,MATCH(sum_orient_20260622!D$1,result_20260622!$1:$1,0)))</f>
        <v>1</v>
      </c>
      <c r="E15">
        <f>SUMIF(result_20260622!$A:$A,sum_orient_20260622!$A15,INDEX(result_20260622!$A:$Z,0,MATCH(sum_orient_20260622!E$1,result_20260622!$1:$1,0)))</f>
        <v>21</v>
      </c>
      <c r="F15">
        <f>SUMIF(result_20260622!$A:$A,sum_orient_20260622!$A15,INDEX(result_20260622!$A:$Z,0,MATCH(sum_orient_20260622!F$1,result_20260622!$1:$1,0)))</f>
        <v>0</v>
      </c>
      <c r="G15">
        <f>SUMIF(result_20260622!$A:$A,sum_orient_20260622!$A15,INDEX(result_20260622!$A:$Z,0,MATCH(sum_orient_20260622!G$1,result_20260622!$1:$1,0)))</f>
        <v>0</v>
      </c>
      <c r="H15">
        <f>SUMIF(result_20260622!$A:$A,sum_orient_20260622!$A15,INDEX(result_20260622!$A:$Z,0,MATCH(sum_orient_20260622!H$1,result_20260622!$1:$1,0)))</f>
        <v>20</v>
      </c>
      <c r="I15">
        <f>SUMIF(result_20260622!$A:$A,sum_orient_20260622!$A15,INDEX(result_20260622!$A:$Z,0,MATCH(sum_orient_20260622!I$1,result_20260622!$1:$1,0)))</f>
        <v>1</v>
      </c>
      <c r="J15">
        <f>SUMIF(result_20260622!$A:$A,sum_orient_20260622!$A15,INDEX(result_20260622!$A:$Z,0,MATCH(sum_orient_20260622!J$1,result_20260622!$1:$1,0)))</f>
        <v>2</v>
      </c>
      <c r="K15">
        <f>SUMIF(result_20260622!$A:$A,sum_orient_20260622!$A15,INDEX(result_20260622!$A:$Z,0,MATCH(sum_orient_20260622!K$1,result_20260622!$1:$1,0)))</f>
        <v>1</v>
      </c>
      <c r="L15">
        <f>SUMIF(result_20260622!$A:$A,sum_orient_20260622!$A15,INDEX(result_20260622!$A:$Z,0,MATCH(sum_orient_20260622!L$1,result_20260622!$1:$1,0)))</f>
        <v>3</v>
      </c>
      <c r="M15">
        <f>SUMIF(result_20260622!$A:$A,sum_orient_20260622!$A15,INDEX(result_20260622!$A:$Z,0,MATCH(sum_orient_20260622!M$1,result_20260622!$1:$1,0)))</f>
        <v>0</v>
      </c>
      <c r="N15">
        <f>SUMIF(result_20260622!$A:$A,sum_orient_20260622!$A15,INDEX(result_20260622!$A:$Z,0,MATCH(sum_orient_20260622!N$1,result_20260622!$1:$1,0)))</f>
        <v>0</v>
      </c>
      <c r="O15">
        <f>SUMIF(result_20260622!$A:$A,sum_orient_20260622!$A15,INDEX(result_20260622!$A:$Z,0,MATCH(sum_orient_20260622!O$1,result_20260622!$1:$1,0)))</f>
        <v>0</v>
      </c>
      <c r="P15">
        <f>SUM(B15:E15)</f>
        <v>27</v>
      </c>
      <c r="Q15" s="8">
        <f t="shared" si="3"/>
        <v>0.18518518518518517</v>
      </c>
    </row>
    <row r="16" spans="1:17">
      <c r="A16">
        <v>4</v>
      </c>
      <c r="B16">
        <f>SUMIF(result_20260622!$A:$A,sum_orient_20260622!$A16,INDEX(result_20260622!$A:$Z,0,MATCH(sum_orient_20260622!B$1,result_20260622!$1:$1,0)))</f>
        <v>0</v>
      </c>
      <c r="C16">
        <f>SUMIF(result_20260622!$A:$A,sum_orient_20260622!$A16,INDEX(result_20260622!$A:$Z,0,MATCH(sum_orient_20260622!C$1,result_20260622!$1:$1,0)))</f>
        <v>0</v>
      </c>
      <c r="D16">
        <f>SUMIF(result_20260622!$A:$A,sum_orient_20260622!$A16,INDEX(result_20260622!$A:$Z,0,MATCH(sum_orient_20260622!D$1,result_20260622!$1:$1,0)))</f>
        <v>4</v>
      </c>
      <c r="E16">
        <f>SUMIF(result_20260622!$A:$A,sum_orient_20260622!$A16,INDEX(result_20260622!$A:$Z,0,MATCH(sum_orient_20260622!E$1,result_20260622!$1:$1,0)))</f>
        <v>14</v>
      </c>
      <c r="F16">
        <f>SUMIF(result_20260622!$A:$A,sum_orient_20260622!$A16,INDEX(result_20260622!$A:$Z,0,MATCH(sum_orient_20260622!F$1,result_20260622!$1:$1,0)))</f>
        <v>0</v>
      </c>
      <c r="G16">
        <f>SUMIF(result_20260622!$A:$A,sum_orient_20260622!$A16,INDEX(result_20260622!$A:$Z,0,MATCH(sum_orient_20260622!G$1,result_20260622!$1:$1,0)))</f>
        <v>0</v>
      </c>
      <c r="H16">
        <f>SUMIF(result_20260622!$A:$A,sum_orient_20260622!$A16,INDEX(result_20260622!$A:$Z,0,MATCH(sum_orient_20260622!H$1,result_20260622!$1:$1,0)))</f>
        <v>14</v>
      </c>
      <c r="I16">
        <f>SUMIF(result_20260622!$A:$A,sum_orient_20260622!$A16,INDEX(result_20260622!$A:$Z,0,MATCH(sum_orient_20260622!I$1,result_20260622!$1:$1,0)))</f>
        <v>0</v>
      </c>
      <c r="J16">
        <f>SUMIF(result_20260622!$A:$A,sum_orient_20260622!$A16,INDEX(result_20260622!$A:$Z,0,MATCH(sum_orient_20260622!J$1,result_20260622!$1:$1,0)))</f>
        <v>4</v>
      </c>
      <c r="K16">
        <f>SUMIF(result_20260622!$A:$A,sum_orient_20260622!$A16,INDEX(result_20260622!$A:$Z,0,MATCH(sum_orient_20260622!K$1,result_20260622!$1:$1,0)))</f>
        <v>0</v>
      </c>
      <c r="L16">
        <f>SUMIF(result_20260622!$A:$A,sum_orient_20260622!$A16,INDEX(result_20260622!$A:$Z,0,MATCH(sum_orient_20260622!L$1,result_20260622!$1:$1,0)))</f>
        <v>0</v>
      </c>
      <c r="M16">
        <f>SUMIF(result_20260622!$A:$A,sum_orient_20260622!$A16,INDEX(result_20260622!$A:$Z,0,MATCH(sum_orient_20260622!M$1,result_20260622!$1:$1,0)))</f>
        <v>0</v>
      </c>
      <c r="N16">
        <f>SUMIF(result_20260622!$A:$A,sum_orient_20260622!$A16,INDEX(result_20260622!$A:$Z,0,MATCH(sum_orient_20260622!N$1,result_20260622!$1:$1,0)))</f>
        <v>0</v>
      </c>
      <c r="O16">
        <f>SUMIF(result_20260622!$A:$A,sum_orient_20260622!$A16,INDEX(result_20260622!$A:$Z,0,MATCH(sum_orient_20260622!O$1,result_20260622!$1:$1,0)))</f>
        <v>0</v>
      </c>
      <c r="P16">
        <f>SUM(B16:E16)</f>
        <v>18</v>
      </c>
      <c r="Q16" s="8">
        <f t="shared" si="3"/>
        <v>0</v>
      </c>
    </row>
    <row r="17" spans="1:17">
      <c r="A17">
        <v>6</v>
      </c>
      <c r="B17">
        <f>SUMIF(result_20260622!$A:$A,sum_orient_20260622!$A17,INDEX(result_20260622!$A:$Z,0,MATCH(sum_orient_20260622!B$1,result_20260622!$1:$1,0)))</f>
        <v>0</v>
      </c>
      <c r="C17">
        <f>SUMIF(result_20260622!$A:$A,sum_orient_20260622!$A17,INDEX(result_20260622!$A:$Z,0,MATCH(sum_orient_20260622!C$1,result_20260622!$1:$1,0)))</f>
        <v>4</v>
      </c>
      <c r="D17">
        <f>SUMIF(result_20260622!$A:$A,sum_orient_20260622!$A17,INDEX(result_20260622!$A:$Z,0,MATCH(sum_orient_20260622!D$1,result_20260622!$1:$1,0)))</f>
        <v>1</v>
      </c>
      <c r="E17">
        <f>SUMIF(result_20260622!$A:$A,sum_orient_20260622!$A17,INDEX(result_20260622!$A:$Z,0,MATCH(sum_orient_20260622!E$1,result_20260622!$1:$1,0)))</f>
        <v>13</v>
      </c>
      <c r="F17">
        <f>SUMIF(result_20260622!$A:$A,sum_orient_20260622!$A17,INDEX(result_20260622!$A:$Z,0,MATCH(sum_orient_20260622!F$1,result_20260622!$1:$1,0)))</f>
        <v>0</v>
      </c>
      <c r="G17">
        <f>SUMIF(result_20260622!$A:$A,sum_orient_20260622!$A17,INDEX(result_20260622!$A:$Z,0,MATCH(sum_orient_20260622!G$1,result_20260622!$1:$1,0)))</f>
        <v>0</v>
      </c>
      <c r="H17">
        <f>SUMIF(result_20260622!$A:$A,sum_orient_20260622!$A17,INDEX(result_20260622!$A:$Z,0,MATCH(sum_orient_20260622!H$1,result_20260622!$1:$1,0)))</f>
        <v>12</v>
      </c>
      <c r="I17">
        <f>SUMIF(result_20260622!$A:$A,sum_orient_20260622!$A17,INDEX(result_20260622!$A:$Z,0,MATCH(sum_orient_20260622!I$1,result_20260622!$1:$1,0)))</f>
        <v>1</v>
      </c>
      <c r="J17">
        <f>SUMIF(result_20260622!$A:$A,sum_orient_20260622!$A17,INDEX(result_20260622!$A:$Z,0,MATCH(sum_orient_20260622!J$1,result_20260622!$1:$1,0)))</f>
        <v>1</v>
      </c>
      <c r="K17">
        <f>SUMIF(result_20260622!$A:$A,sum_orient_20260622!$A17,INDEX(result_20260622!$A:$Z,0,MATCH(sum_orient_20260622!K$1,result_20260622!$1:$1,0)))</f>
        <v>3</v>
      </c>
      <c r="L17">
        <f>SUMIF(result_20260622!$A:$A,sum_orient_20260622!$A17,INDEX(result_20260622!$A:$Z,0,MATCH(sum_orient_20260622!L$1,result_20260622!$1:$1,0)))</f>
        <v>1</v>
      </c>
      <c r="M17">
        <f>SUMIF(result_20260622!$A:$A,sum_orient_20260622!$A17,INDEX(result_20260622!$A:$Z,0,MATCH(sum_orient_20260622!M$1,result_20260622!$1:$1,0)))</f>
        <v>0</v>
      </c>
      <c r="N17">
        <f>SUMIF(result_20260622!$A:$A,sum_orient_20260622!$A17,INDEX(result_20260622!$A:$Z,0,MATCH(sum_orient_20260622!N$1,result_20260622!$1:$1,0)))</f>
        <v>0</v>
      </c>
      <c r="O17">
        <f>SUMIF(result_20260622!$A:$A,sum_orient_20260622!$A17,INDEX(result_20260622!$A:$Z,0,MATCH(sum_orient_20260622!O$1,result_20260622!$1:$1,0)))</f>
        <v>0</v>
      </c>
      <c r="P17">
        <f>SUM(B17:E17)</f>
        <v>18</v>
      </c>
      <c r="Q17" s="8">
        <f t="shared" si="3"/>
        <v>0.22222222222222221</v>
      </c>
    </row>
    <row r="18" spans="1:17">
      <c r="A18">
        <v>8</v>
      </c>
      <c r="B18">
        <f>SUMIF(result_20260622!$A:$A,sum_orient_20260622!$A18,INDEX(result_20260622!$A:$Z,0,MATCH(sum_orient_20260622!B$1,result_20260622!$1:$1,0)))</f>
        <v>0</v>
      </c>
      <c r="C18">
        <f>SUMIF(result_20260622!$A:$A,sum_orient_20260622!$A18,INDEX(result_20260622!$A:$Z,0,MATCH(sum_orient_20260622!C$1,result_20260622!$1:$1,0)))</f>
        <v>4</v>
      </c>
      <c r="D18">
        <f>SUMIF(result_20260622!$A:$A,sum_orient_20260622!$A18,INDEX(result_20260622!$A:$Z,0,MATCH(sum_orient_20260622!D$1,result_20260622!$1:$1,0)))</f>
        <v>0</v>
      </c>
      <c r="E18">
        <f>SUMIF(result_20260622!$A:$A,sum_orient_20260622!$A18,INDEX(result_20260622!$A:$Z,0,MATCH(sum_orient_20260622!E$1,result_20260622!$1:$1,0)))</f>
        <v>14</v>
      </c>
      <c r="F18">
        <f>SUMIF(result_20260622!$A:$A,sum_orient_20260622!$A18,INDEX(result_20260622!$A:$Z,0,MATCH(sum_orient_20260622!F$1,result_20260622!$1:$1,0)))</f>
        <v>1</v>
      </c>
      <c r="G18">
        <f>SUMIF(result_20260622!$A:$A,sum_orient_20260622!$A18,INDEX(result_20260622!$A:$Z,0,MATCH(sum_orient_20260622!G$1,result_20260622!$1:$1,0)))</f>
        <v>0</v>
      </c>
      <c r="H18">
        <f>SUMIF(result_20260622!$A:$A,sum_orient_20260622!$A18,INDEX(result_20260622!$A:$Z,0,MATCH(sum_orient_20260622!H$1,result_20260622!$1:$1,0)))</f>
        <v>14</v>
      </c>
      <c r="I18">
        <f>SUMIF(result_20260622!$A:$A,sum_orient_20260622!$A18,INDEX(result_20260622!$A:$Z,0,MATCH(sum_orient_20260622!I$1,result_20260622!$1:$1,0)))</f>
        <v>0</v>
      </c>
      <c r="J18">
        <f>SUMIF(result_20260622!$A:$A,sum_orient_20260622!$A18,INDEX(result_20260622!$A:$Z,0,MATCH(sum_orient_20260622!J$1,result_20260622!$1:$1,0)))</f>
        <v>0</v>
      </c>
      <c r="K18">
        <f>SUMIF(result_20260622!$A:$A,sum_orient_20260622!$A18,INDEX(result_20260622!$A:$Z,0,MATCH(sum_orient_20260622!K$1,result_20260622!$1:$1,0)))</f>
        <v>0</v>
      </c>
      <c r="L18">
        <f>SUMIF(result_20260622!$A:$A,sum_orient_20260622!$A18,INDEX(result_20260622!$A:$Z,0,MATCH(sum_orient_20260622!L$1,result_20260622!$1:$1,0)))</f>
        <v>0</v>
      </c>
      <c r="M18">
        <f>SUMIF(result_20260622!$A:$A,sum_orient_20260622!$A18,INDEX(result_20260622!$A:$Z,0,MATCH(sum_orient_20260622!M$1,result_20260622!$1:$1,0)))</f>
        <v>3</v>
      </c>
      <c r="N18">
        <f>SUMIF(result_20260622!$A:$A,sum_orient_20260622!$A18,INDEX(result_20260622!$A:$Z,0,MATCH(sum_orient_20260622!N$1,result_20260622!$1:$1,0)))</f>
        <v>0</v>
      </c>
      <c r="O18">
        <f>SUMIF(result_20260622!$A:$A,sum_orient_20260622!$A18,INDEX(result_20260622!$A:$Z,0,MATCH(sum_orient_20260622!O$1,result_20260622!$1:$1,0)))</f>
        <v>0</v>
      </c>
      <c r="P18">
        <f>SUM(B18:E18)</f>
        <v>18</v>
      </c>
      <c r="Q18" s="8">
        <f t="shared" si="3"/>
        <v>0.22222222222222221</v>
      </c>
    </row>
    <row r="19" spans="1:17">
      <c r="A19" s="24" t="s">
        <v>35</v>
      </c>
      <c r="B19" s="24">
        <f t="shared" ref="B19:P19" si="4">SUM(B14:B18)</f>
        <v>0</v>
      </c>
      <c r="C19" s="24">
        <f t="shared" si="4"/>
        <v>20</v>
      </c>
      <c r="D19" s="24">
        <f t="shared" si="4"/>
        <v>7</v>
      </c>
      <c r="E19" s="24">
        <f t="shared" si="4"/>
        <v>81</v>
      </c>
      <c r="F19" s="24">
        <f t="shared" si="4"/>
        <v>1</v>
      </c>
      <c r="G19" s="24">
        <f t="shared" si="4"/>
        <v>0</v>
      </c>
      <c r="H19" s="24">
        <f t="shared" si="4"/>
        <v>76</v>
      </c>
      <c r="I19" s="24">
        <f t="shared" si="4"/>
        <v>2</v>
      </c>
      <c r="J19" s="24">
        <f t="shared" si="4"/>
        <v>7</v>
      </c>
      <c r="K19" s="24">
        <f t="shared" si="4"/>
        <v>7</v>
      </c>
      <c r="L19" s="24">
        <f t="shared" si="4"/>
        <v>7</v>
      </c>
      <c r="M19" s="24">
        <f t="shared" si="4"/>
        <v>3</v>
      </c>
      <c r="N19" s="24">
        <f t="shared" si="4"/>
        <v>0</v>
      </c>
      <c r="O19" s="24">
        <f t="shared" si="4"/>
        <v>2</v>
      </c>
      <c r="P19" s="24">
        <f t="shared" si="4"/>
        <v>108</v>
      </c>
      <c r="Q19" s="25">
        <f t="shared" si="3"/>
        <v>0.18518518518518517</v>
      </c>
    </row>
  </sheetData>
  <phoneticPr fontId="1" type="noConversion"/>
  <conditionalFormatting sqref="Q2">
    <cfRule type="colorScale" priority="3">
      <colorScale>
        <cfvo type="percent" val="0"/>
        <cfvo type="percentile" val="50"/>
        <cfvo type="percent" val="100"/>
        <color rgb="FFF8696B"/>
        <color rgb="FFFFEB84"/>
        <color rgb="FF63BE7B"/>
      </colorScale>
    </cfRule>
  </conditionalFormatting>
  <conditionalFormatting sqref="Q2:Q1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14">
    <cfRule type="colorScale" priority="1">
      <colorScale>
        <cfvo type="percent" val="0"/>
        <cfvo type="percentile" val="50"/>
        <cfvo type="percent" val="100"/>
        <color rgb="FFF8696B"/>
        <color rgb="FFFFEB84"/>
        <color rgb="FF63BE7B"/>
      </colorScale>
    </cfRule>
  </conditionalFormatting>
  <conditionalFormatting sqref="Q14:Q1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C4DCB-9409-427C-857E-E50AE96558D3}">
  <sheetPr>
    <tabColor theme="8" tint="0.79998168889431442"/>
  </sheetPr>
  <dimension ref="A1:Q21"/>
  <sheetViews>
    <sheetView workbookViewId="0">
      <selection activeCell="K1" sqref="K1"/>
    </sheetView>
  </sheetViews>
  <sheetFormatPr defaultRowHeight="14.25"/>
  <cols>
    <col min="3" max="3" width="23.5" bestFit="1" customWidth="1"/>
    <col min="4" max="4" width="32.125" bestFit="1" customWidth="1"/>
    <col min="7" max="7" width="17.5" style="8" bestFit="1" customWidth="1"/>
  </cols>
  <sheetData>
    <row r="1" spans="1:17">
      <c r="A1" s="24" t="s">
        <v>3</v>
      </c>
      <c r="B1" s="24" t="s">
        <v>0</v>
      </c>
      <c r="C1" s="24" t="s">
        <v>16</v>
      </c>
      <c r="D1" s="24" t="s">
        <v>21</v>
      </c>
      <c r="E1" s="24" t="s">
        <v>17</v>
      </c>
      <c r="F1" s="24" t="s">
        <v>69</v>
      </c>
      <c r="G1" s="24" t="s">
        <v>1</v>
      </c>
      <c r="H1" s="24" t="s">
        <v>98</v>
      </c>
      <c r="I1" s="24" t="s">
        <v>62</v>
      </c>
      <c r="J1" s="24" t="s">
        <v>97</v>
      </c>
      <c r="K1" s="24" t="s">
        <v>72</v>
      </c>
      <c r="L1" s="24" t="s">
        <v>18</v>
      </c>
      <c r="M1" s="24" t="s">
        <v>23</v>
      </c>
      <c r="N1" s="24" t="s">
        <v>71</v>
      </c>
      <c r="O1" s="24" t="s">
        <v>70</v>
      </c>
      <c r="P1" s="24" t="s">
        <v>33</v>
      </c>
      <c r="Q1" s="25" t="s">
        <v>34</v>
      </c>
    </row>
    <row r="2" spans="1:17">
      <c r="A2" t="s">
        <v>6</v>
      </c>
      <c r="B2">
        <f>SUMIF(result_20260622!$B:$B,sum_pos_20260622!$A2,INDEX(result_20260622!$A:$Z,0,MATCH(sum_pos_20260622!B$1,result_20260622!$1:$1,0)))</f>
        <v>0</v>
      </c>
      <c r="C2">
        <f>SUMIF(result_20260622!$B:$B,sum_pos_20260622!$A2,INDEX(result_20260622!$A:$Z,0,MATCH(sum_pos_20260622!C$1,result_20260622!$1:$1,0)))</f>
        <v>4</v>
      </c>
      <c r="D2">
        <f>SUMIF(result_20260622!$B:$B,sum_pos_20260622!$A2,INDEX(result_20260622!$A:$Z,0,MATCH(sum_pos_20260622!D$1,result_20260622!$1:$1,0)))</f>
        <v>2</v>
      </c>
      <c r="E2">
        <f>SUMIF(result_20260622!$B:$B,sum_pos_20260622!$A2,INDEX(result_20260622!$A:$Z,0,MATCH(sum_pos_20260622!E$1,result_20260622!$1:$1,0)))</f>
        <v>18</v>
      </c>
      <c r="F2">
        <f>SUMIF(result_20260622!$B:$B,sum_pos_20260622!$A2,INDEX(result_20260622!$A:$Z,0,MATCH(sum_pos_20260622!F$1,result_20260622!$1:$1,0)))</f>
        <v>0</v>
      </c>
      <c r="G2">
        <f>SUMIF(result_20260622!$B:$B,sum_pos_20260622!$A2,INDEX(result_20260622!$A:$Z,0,MATCH(sum_pos_20260622!G$1,result_20260622!$1:$1,0)))</f>
        <v>0</v>
      </c>
      <c r="H2">
        <f>SUMIF(result_20260622!$B:$B,sum_pos_20260622!$A2,INDEX(result_20260622!$A:$Z,0,MATCH(sum_pos_20260622!H$1,result_20260622!$1:$1,0)))</f>
        <v>0</v>
      </c>
      <c r="I2">
        <f>SUMIF(result_20260622!$B:$B,sum_pos_20260622!$A2,INDEX(result_20260622!$A:$Z,0,MATCH(sum_pos_20260622!I$1,result_20260622!$1:$1,0)))</f>
        <v>15</v>
      </c>
      <c r="J2">
        <f>SUMIF(result_20260622!$B:$B,sum_pos_20260622!$A2,INDEX(result_20260622!$A:$Z,0,MATCH(sum_pos_20260622!J$1,result_20260622!$1:$1,0)))</f>
        <v>2</v>
      </c>
      <c r="K2">
        <f>SUMIF(result_20260622!$B:$B,sum_pos_20260622!$A2,INDEX(result_20260622!$A:$Z,0,MATCH(sum_pos_20260622!K$1,result_20260622!$1:$1,0)))</f>
        <v>1</v>
      </c>
      <c r="L2">
        <f>SUMIF(result_20260622!$B:$B,sum_pos_20260622!$A2,INDEX(result_20260622!$A:$Z,0,MATCH(sum_pos_20260622!L$1,result_20260622!$1:$1,0)))</f>
        <v>2</v>
      </c>
      <c r="M2">
        <f>SUMIF(result_20260622!$B:$B,sum_pos_20260622!$A2,INDEX(result_20260622!$A:$Z,0,MATCH(sum_pos_20260622!M$1,result_20260622!$1:$1,0)))</f>
        <v>3</v>
      </c>
      <c r="N2">
        <f>SUMIF(result_20260622!$B:$B,sum_pos_20260622!$A2,INDEX(result_20260622!$A:$Z,0,MATCH(sum_pos_20260622!N$1,result_20260622!$1:$1,0)))</f>
        <v>0</v>
      </c>
      <c r="O2">
        <f>SUMIF(result_20260622!$B:$B,sum_pos_20260622!$A2,INDEX(result_20260622!$A:$Z,0,MATCH(sum_pos_20260622!O$1,result_20260622!$1:$1,0)))</f>
        <v>0</v>
      </c>
      <c r="P2">
        <f t="shared" ref="P2:P10" si="0">SUM(B2:E2)</f>
        <v>24</v>
      </c>
      <c r="Q2" s="8">
        <f t="shared" ref="Q2:Q10" si="1">SUM(B2:C2)/P2</f>
        <v>0.16666666666666666</v>
      </c>
    </row>
    <row r="3" spans="1:17">
      <c r="A3" t="s">
        <v>7</v>
      </c>
      <c r="B3">
        <f>SUMIF(result_20260622!$B:$B,sum_pos_20260622!$A3,INDEX(result_20260622!$A:$Z,0,MATCH(sum_pos_20260622!B$1,result_20260622!$1:$1,0)))</f>
        <v>0</v>
      </c>
      <c r="C3">
        <f>SUMIF(result_20260622!$B:$B,sum_pos_20260622!$A3,INDEX(result_20260622!$A:$Z,0,MATCH(sum_pos_20260622!C$1,result_20260622!$1:$1,0)))</f>
        <v>2</v>
      </c>
      <c r="D3">
        <f>SUMIF(result_20260622!$B:$B,sum_pos_20260622!$A3,INDEX(result_20260622!$A:$Z,0,MATCH(sum_pos_20260622!D$1,result_20260622!$1:$1,0)))</f>
        <v>0</v>
      </c>
      <c r="E3">
        <f>SUMIF(result_20260622!$B:$B,sum_pos_20260622!$A3,INDEX(result_20260622!$A:$Z,0,MATCH(sum_pos_20260622!E$1,result_20260622!$1:$1,0)))</f>
        <v>4</v>
      </c>
      <c r="F3">
        <f>SUMIF(result_20260622!$B:$B,sum_pos_20260622!$A3,INDEX(result_20260622!$A:$Z,0,MATCH(sum_pos_20260622!F$1,result_20260622!$1:$1,0)))</f>
        <v>0</v>
      </c>
      <c r="G3">
        <f>SUMIF(result_20260622!$B:$B,sum_pos_20260622!$A3,INDEX(result_20260622!$A:$Z,0,MATCH(sum_pos_20260622!G$1,result_20260622!$1:$1,0)))</f>
        <v>0</v>
      </c>
      <c r="H3">
        <f>SUMIF(result_20260622!$B:$B,sum_pos_20260622!$A3,INDEX(result_20260622!$A:$Z,0,MATCH(sum_pos_20260622!H$1,result_20260622!$1:$1,0)))</f>
        <v>0</v>
      </c>
      <c r="I3">
        <f>SUMIF(result_20260622!$B:$B,sum_pos_20260622!$A3,INDEX(result_20260622!$A:$Z,0,MATCH(sum_pos_20260622!I$1,result_20260622!$1:$1,0)))</f>
        <v>4</v>
      </c>
      <c r="J3">
        <f>SUMIF(result_20260622!$B:$B,sum_pos_20260622!$A3,INDEX(result_20260622!$A:$Z,0,MATCH(sum_pos_20260622!J$1,result_20260622!$1:$1,0)))</f>
        <v>2</v>
      </c>
      <c r="K3">
        <f>SUMIF(result_20260622!$B:$B,sum_pos_20260622!$A3,INDEX(result_20260622!$A:$Z,0,MATCH(sum_pos_20260622!K$1,result_20260622!$1:$1,0)))</f>
        <v>0</v>
      </c>
      <c r="L3">
        <f>SUMIF(result_20260622!$B:$B,sum_pos_20260622!$A3,INDEX(result_20260622!$A:$Z,0,MATCH(sum_pos_20260622!L$1,result_20260622!$1:$1,0)))</f>
        <v>0</v>
      </c>
      <c r="M3">
        <f>SUMIF(result_20260622!$B:$B,sum_pos_20260622!$A3,INDEX(result_20260622!$A:$Z,0,MATCH(sum_pos_20260622!M$1,result_20260622!$1:$1,0)))</f>
        <v>0</v>
      </c>
      <c r="N3">
        <f>SUMIF(result_20260622!$B:$B,sum_pos_20260622!$A3,INDEX(result_20260622!$A:$Z,0,MATCH(sum_pos_20260622!N$1,result_20260622!$1:$1,0)))</f>
        <v>0</v>
      </c>
      <c r="O3">
        <f>SUMIF(result_20260622!$B:$B,sum_pos_20260622!$A3,INDEX(result_20260622!$A:$Z,0,MATCH(sum_pos_20260622!O$1,result_20260622!$1:$1,0)))</f>
        <v>0</v>
      </c>
      <c r="P3">
        <f t="shared" si="0"/>
        <v>6</v>
      </c>
      <c r="Q3" s="8">
        <f t="shared" si="1"/>
        <v>0.33333333333333331</v>
      </c>
    </row>
    <row r="4" spans="1:17">
      <c r="A4" t="s">
        <v>8</v>
      </c>
      <c r="B4">
        <f>SUMIF(result_20260622!$B:$B,sum_pos_20260622!$A4,INDEX(result_20260622!$A:$Z,0,MATCH(sum_pos_20260622!B$1,result_20260622!$1:$1,0)))</f>
        <v>0</v>
      </c>
      <c r="C4">
        <f>SUMIF(result_20260622!$B:$B,sum_pos_20260622!$A4,INDEX(result_20260622!$A:$Z,0,MATCH(sum_pos_20260622!C$1,result_20260622!$1:$1,0)))</f>
        <v>4</v>
      </c>
      <c r="D4">
        <f>SUMIF(result_20260622!$B:$B,sum_pos_20260622!$A4,INDEX(result_20260622!$A:$Z,0,MATCH(sum_pos_20260622!D$1,result_20260622!$1:$1,0)))</f>
        <v>0</v>
      </c>
      <c r="E4">
        <f>SUMIF(result_20260622!$B:$B,sum_pos_20260622!$A4,INDEX(result_20260622!$A:$Z,0,MATCH(sum_pos_20260622!E$1,result_20260622!$1:$1,0)))</f>
        <v>20</v>
      </c>
      <c r="F4">
        <f>SUMIF(result_20260622!$B:$B,sum_pos_20260622!$A4,INDEX(result_20260622!$A:$Z,0,MATCH(sum_pos_20260622!F$1,result_20260622!$1:$1,0)))</f>
        <v>0</v>
      </c>
      <c r="G4">
        <f>SUMIF(result_20260622!$B:$B,sum_pos_20260622!$A4,INDEX(result_20260622!$A:$Z,0,MATCH(sum_pos_20260622!G$1,result_20260622!$1:$1,0)))</f>
        <v>0</v>
      </c>
      <c r="H4">
        <f>SUMIF(result_20260622!$B:$B,sum_pos_20260622!$A4,INDEX(result_20260622!$A:$Z,0,MATCH(sum_pos_20260622!H$1,result_20260622!$1:$1,0)))</f>
        <v>0</v>
      </c>
      <c r="I4">
        <f>SUMIF(result_20260622!$B:$B,sum_pos_20260622!$A4,INDEX(result_20260622!$A:$Z,0,MATCH(sum_pos_20260622!I$1,result_20260622!$1:$1,0)))</f>
        <v>17</v>
      </c>
      <c r="J4">
        <f>SUMIF(result_20260622!$B:$B,sum_pos_20260622!$A4,INDEX(result_20260622!$A:$Z,0,MATCH(sum_pos_20260622!J$1,result_20260622!$1:$1,0)))</f>
        <v>0</v>
      </c>
      <c r="K4">
        <f>SUMIF(result_20260622!$B:$B,sum_pos_20260622!$A4,INDEX(result_20260622!$A:$Z,0,MATCH(sum_pos_20260622!K$1,result_20260622!$1:$1,0)))</f>
        <v>1</v>
      </c>
      <c r="L4">
        <f>SUMIF(result_20260622!$B:$B,sum_pos_20260622!$A4,INDEX(result_20260622!$A:$Z,0,MATCH(sum_pos_20260622!L$1,result_20260622!$1:$1,0)))</f>
        <v>1</v>
      </c>
      <c r="M4">
        <f>SUMIF(result_20260622!$B:$B,sum_pos_20260622!$A4,INDEX(result_20260622!$A:$Z,0,MATCH(sum_pos_20260622!M$1,result_20260622!$1:$1,0)))</f>
        <v>5</v>
      </c>
      <c r="N4">
        <f>SUMIF(result_20260622!$B:$B,sum_pos_20260622!$A4,INDEX(result_20260622!$A:$Z,0,MATCH(sum_pos_20260622!N$1,result_20260622!$1:$1,0)))</f>
        <v>0</v>
      </c>
      <c r="O4">
        <f>SUMIF(result_20260622!$B:$B,sum_pos_20260622!$A4,INDEX(result_20260622!$A:$Z,0,MATCH(sum_pos_20260622!O$1,result_20260622!$1:$1,0)))</f>
        <v>0</v>
      </c>
      <c r="P4">
        <f t="shared" si="0"/>
        <v>24</v>
      </c>
      <c r="Q4" s="8">
        <f t="shared" si="1"/>
        <v>0.16666666666666666</v>
      </c>
    </row>
    <row r="5" spans="1:17">
      <c r="A5" t="s">
        <v>9</v>
      </c>
      <c r="B5">
        <f>SUMIF(result_20260622!$B:$B,sum_pos_20260622!$A5,INDEX(result_20260622!$A:$Z,0,MATCH(sum_pos_20260622!B$1,result_20260622!$1:$1,0)))</f>
        <v>0</v>
      </c>
      <c r="C5">
        <f>SUMIF(result_20260622!$B:$B,sum_pos_20260622!$A5,INDEX(result_20260622!$A:$Z,0,MATCH(sum_pos_20260622!C$1,result_20260622!$1:$1,0)))</f>
        <v>2</v>
      </c>
      <c r="D5">
        <f>SUMIF(result_20260622!$B:$B,sum_pos_20260622!$A5,INDEX(result_20260622!$A:$Z,0,MATCH(sum_pos_20260622!D$1,result_20260622!$1:$1,0)))</f>
        <v>3</v>
      </c>
      <c r="E5">
        <f>SUMIF(result_20260622!$B:$B,sum_pos_20260622!$A5,INDEX(result_20260622!$A:$Z,0,MATCH(sum_pos_20260622!E$1,result_20260622!$1:$1,0)))</f>
        <v>19</v>
      </c>
      <c r="F5">
        <f>SUMIF(result_20260622!$B:$B,sum_pos_20260622!$A5,INDEX(result_20260622!$A:$Z,0,MATCH(sum_pos_20260622!F$1,result_20260622!$1:$1,0)))</f>
        <v>1</v>
      </c>
      <c r="G5">
        <f>SUMIF(result_20260622!$B:$B,sum_pos_20260622!$A5,INDEX(result_20260622!$A:$Z,0,MATCH(sum_pos_20260622!G$1,result_20260622!$1:$1,0)))</f>
        <v>0</v>
      </c>
      <c r="H5">
        <f>SUMIF(result_20260622!$B:$B,sum_pos_20260622!$A5,INDEX(result_20260622!$A:$Z,0,MATCH(sum_pos_20260622!H$1,result_20260622!$1:$1,0)))</f>
        <v>1</v>
      </c>
      <c r="I5">
        <f>SUMIF(result_20260622!$B:$B,sum_pos_20260622!$A5,INDEX(result_20260622!$A:$Z,0,MATCH(sum_pos_20260622!I$1,result_20260622!$1:$1,0)))</f>
        <v>15</v>
      </c>
      <c r="J5">
        <f>SUMIF(result_20260622!$B:$B,sum_pos_20260622!$A5,INDEX(result_20260622!$A:$Z,0,MATCH(sum_pos_20260622!J$1,result_20260622!$1:$1,0)))</f>
        <v>2</v>
      </c>
      <c r="K5">
        <f>SUMIF(result_20260622!$B:$B,sum_pos_20260622!$A5,INDEX(result_20260622!$A:$Z,0,MATCH(sum_pos_20260622!K$1,result_20260622!$1:$1,0)))</f>
        <v>0</v>
      </c>
      <c r="L5">
        <f>SUMIF(result_20260622!$B:$B,sum_pos_20260622!$A5,INDEX(result_20260622!$A:$Z,0,MATCH(sum_pos_20260622!L$1,result_20260622!$1:$1,0)))</f>
        <v>2</v>
      </c>
      <c r="M5">
        <f>SUMIF(result_20260622!$B:$B,sum_pos_20260622!$A5,INDEX(result_20260622!$A:$Z,0,MATCH(sum_pos_20260622!M$1,result_20260622!$1:$1,0)))</f>
        <v>3</v>
      </c>
      <c r="N5">
        <f>SUMIF(result_20260622!$B:$B,sum_pos_20260622!$A5,INDEX(result_20260622!$A:$Z,0,MATCH(sum_pos_20260622!N$1,result_20260622!$1:$1,0)))</f>
        <v>0</v>
      </c>
      <c r="O5">
        <f>SUMIF(result_20260622!$B:$B,sum_pos_20260622!$A5,INDEX(result_20260622!$A:$Z,0,MATCH(sum_pos_20260622!O$1,result_20260622!$1:$1,0)))</f>
        <v>0</v>
      </c>
      <c r="P5">
        <f t="shared" si="0"/>
        <v>24</v>
      </c>
      <c r="Q5" s="8">
        <f t="shared" si="1"/>
        <v>8.3333333333333329E-2</v>
      </c>
    </row>
    <row r="6" spans="1:17">
      <c r="A6" t="s">
        <v>10</v>
      </c>
      <c r="B6">
        <f>SUMIF(result_20260622!$B:$B,sum_pos_20260622!$A6,INDEX(result_20260622!$A:$Z,0,MATCH(sum_pos_20260622!B$1,result_20260622!$1:$1,0)))</f>
        <v>0</v>
      </c>
      <c r="C6">
        <f>SUMIF(result_20260622!$B:$B,sum_pos_20260622!$A6,INDEX(result_20260622!$A:$Z,0,MATCH(sum_pos_20260622!C$1,result_20260622!$1:$1,0)))</f>
        <v>0</v>
      </c>
      <c r="D6">
        <f>SUMIF(result_20260622!$B:$B,sum_pos_20260622!$A6,INDEX(result_20260622!$A:$Z,0,MATCH(sum_pos_20260622!D$1,result_20260622!$1:$1,0)))</f>
        <v>0</v>
      </c>
      <c r="E6">
        <f>SUMIF(result_20260622!$B:$B,sum_pos_20260622!$A6,INDEX(result_20260622!$A:$Z,0,MATCH(sum_pos_20260622!E$1,result_20260622!$1:$1,0)))</f>
        <v>6</v>
      </c>
      <c r="F6">
        <f>SUMIF(result_20260622!$B:$B,sum_pos_20260622!$A6,INDEX(result_20260622!$A:$Z,0,MATCH(sum_pos_20260622!F$1,result_20260622!$1:$1,0)))</f>
        <v>0</v>
      </c>
      <c r="G6">
        <f>SUMIF(result_20260622!$B:$B,sum_pos_20260622!$A6,INDEX(result_20260622!$A:$Z,0,MATCH(sum_pos_20260622!G$1,result_20260622!$1:$1,0)))</f>
        <v>0</v>
      </c>
      <c r="H6">
        <f>SUMIF(result_20260622!$B:$B,sum_pos_20260622!$A6,INDEX(result_20260622!$A:$Z,0,MATCH(sum_pos_20260622!H$1,result_20260622!$1:$1,0)))</f>
        <v>0</v>
      </c>
      <c r="I6">
        <f>SUMIF(result_20260622!$B:$B,sum_pos_20260622!$A6,INDEX(result_20260622!$A:$Z,0,MATCH(sum_pos_20260622!I$1,result_20260622!$1:$1,0)))</f>
        <v>3</v>
      </c>
      <c r="J6">
        <f>SUMIF(result_20260622!$B:$B,sum_pos_20260622!$A6,INDEX(result_20260622!$A:$Z,0,MATCH(sum_pos_20260622!J$1,result_20260622!$1:$1,0)))</f>
        <v>0</v>
      </c>
      <c r="K6">
        <f>SUMIF(result_20260622!$B:$B,sum_pos_20260622!$A6,INDEX(result_20260622!$A:$Z,0,MATCH(sum_pos_20260622!K$1,result_20260622!$1:$1,0)))</f>
        <v>0</v>
      </c>
      <c r="L6">
        <f>SUMIF(result_20260622!$B:$B,sum_pos_20260622!$A6,INDEX(result_20260622!$A:$Z,0,MATCH(sum_pos_20260622!L$1,result_20260622!$1:$1,0)))</f>
        <v>0</v>
      </c>
      <c r="M6">
        <f>SUMIF(result_20260622!$B:$B,sum_pos_20260622!$A6,INDEX(result_20260622!$A:$Z,0,MATCH(sum_pos_20260622!M$1,result_20260622!$1:$1,0)))</f>
        <v>0</v>
      </c>
      <c r="N6">
        <f>SUMIF(result_20260622!$B:$B,sum_pos_20260622!$A6,INDEX(result_20260622!$A:$Z,0,MATCH(sum_pos_20260622!N$1,result_20260622!$1:$1,0)))</f>
        <v>0</v>
      </c>
      <c r="O6">
        <f>SUMIF(result_20260622!$B:$B,sum_pos_20260622!$A6,INDEX(result_20260622!$A:$Z,0,MATCH(sum_pos_20260622!O$1,result_20260622!$1:$1,0)))</f>
        <v>0</v>
      </c>
      <c r="P6">
        <f t="shared" si="0"/>
        <v>6</v>
      </c>
      <c r="Q6" s="8">
        <f t="shared" si="1"/>
        <v>0</v>
      </c>
    </row>
    <row r="7" spans="1:17">
      <c r="A7" t="s">
        <v>11</v>
      </c>
      <c r="B7">
        <f>SUMIF(result_20260622!$B:$B,sum_pos_20260622!$A7,INDEX(result_20260622!$A:$Z,0,MATCH(sum_pos_20260622!B$1,result_20260622!$1:$1,0)))</f>
        <v>0</v>
      </c>
      <c r="C7">
        <f>SUMIF(result_20260622!$B:$B,sum_pos_20260622!$A7,INDEX(result_20260622!$A:$Z,0,MATCH(sum_pos_20260622!C$1,result_20260622!$1:$1,0)))</f>
        <v>4</v>
      </c>
      <c r="D7">
        <f>SUMIF(result_20260622!$B:$B,sum_pos_20260622!$A7,INDEX(result_20260622!$A:$Z,0,MATCH(sum_pos_20260622!D$1,result_20260622!$1:$1,0)))</f>
        <v>2</v>
      </c>
      <c r="E7">
        <f>SUMIF(result_20260622!$B:$B,sum_pos_20260622!$A7,INDEX(result_20260622!$A:$Z,0,MATCH(sum_pos_20260622!E$1,result_20260622!$1:$1,0)))</f>
        <v>18</v>
      </c>
      <c r="F7">
        <f>SUMIF(result_20260622!$B:$B,sum_pos_20260622!$A7,INDEX(result_20260622!$A:$Z,0,MATCH(sum_pos_20260622!F$1,result_20260622!$1:$1,0)))</f>
        <v>0</v>
      </c>
      <c r="G7">
        <f>SUMIF(result_20260622!$B:$B,sum_pos_20260622!$A7,INDEX(result_20260622!$A:$Z,0,MATCH(sum_pos_20260622!G$1,result_20260622!$1:$1,0)))</f>
        <v>0</v>
      </c>
      <c r="H7">
        <f>SUMIF(result_20260622!$B:$B,sum_pos_20260622!$A7,INDEX(result_20260622!$A:$Z,0,MATCH(sum_pos_20260622!H$1,result_20260622!$1:$1,0)))</f>
        <v>0</v>
      </c>
      <c r="I7">
        <f>SUMIF(result_20260622!$B:$B,sum_pos_20260622!$A7,INDEX(result_20260622!$A:$Z,0,MATCH(sum_pos_20260622!I$1,result_20260622!$1:$1,0)))</f>
        <v>15</v>
      </c>
      <c r="J7">
        <f>SUMIF(result_20260622!$B:$B,sum_pos_20260622!$A7,INDEX(result_20260622!$A:$Z,0,MATCH(sum_pos_20260622!J$1,result_20260622!$1:$1,0)))</f>
        <v>2</v>
      </c>
      <c r="K7">
        <f>SUMIF(result_20260622!$B:$B,sum_pos_20260622!$A7,INDEX(result_20260622!$A:$Z,0,MATCH(sum_pos_20260622!K$1,result_20260622!$1:$1,0)))</f>
        <v>4</v>
      </c>
      <c r="L7">
        <f>SUMIF(result_20260622!$B:$B,sum_pos_20260622!$A7,INDEX(result_20260622!$A:$Z,0,MATCH(sum_pos_20260622!L$1,result_20260622!$1:$1,0)))</f>
        <v>0</v>
      </c>
      <c r="M7">
        <f>SUMIF(result_20260622!$B:$B,sum_pos_20260622!$A7,INDEX(result_20260622!$A:$Z,0,MATCH(sum_pos_20260622!M$1,result_20260622!$1:$1,0)))</f>
        <v>3</v>
      </c>
      <c r="N7">
        <f>SUMIF(result_20260622!$B:$B,sum_pos_20260622!$A7,INDEX(result_20260622!$A:$Z,0,MATCH(sum_pos_20260622!N$1,result_20260622!$1:$1,0)))</f>
        <v>0</v>
      </c>
      <c r="O7">
        <f>SUMIF(result_20260622!$B:$B,sum_pos_20260622!$A7,INDEX(result_20260622!$A:$Z,0,MATCH(sum_pos_20260622!O$1,result_20260622!$1:$1,0)))</f>
        <v>0</v>
      </c>
      <c r="P7">
        <f t="shared" si="0"/>
        <v>24</v>
      </c>
      <c r="Q7" s="8">
        <f t="shared" si="1"/>
        <v>0.16666666666666666</v>
      </c>
    </row>
    <row r="8" spans="1:17">
      <c r="A8" t="s">
        <v>12</v>
      </c>
      <c r="B8">
        <f>SUMIF(result_20260622!$B:$B,sum_pos_20260622!$A8,INDEX(result_20260622!$A:$Z,0,MATCH(sum_pos_20260622!B$1,result_20260622!$1:$1,0)))</f>
        <v>0</v>
      </c>
      <c r="C8">
        <f>SUMIF(result_20260622!$B:$B,sum_pos_20260622!$A8,INDEX(result_20260622!$A:$Z,0,MATCH(sum_pos_20260622!C$1,result_20260622!$1:$1,0)))</f>
        <v>2</v>
      </c>
      <c r="D8">
        <f>SUMIF(result_20260622!$B:$B,sum_pos_20260622!$A8,INDEX(result_20260622!$A:$Z,0,MATCH(sum_pos_20260622!D$1,result_20260622!$1:$1,0)))</f>
        <v>2</v>
      </c>
      <c r="E8">
        <f>SUMIF(result_20260622!$B:$B,sum_pos_20260622!$A8,INDEX(result_20260622!$A:$Z,0,MATCH(sum_pos_20260622!E$1,result_20260622!$1:$1,0)))</f>
        <v>20</v>
      </c>
      <c r="F8">
        <f>SUMIF(result_20260622!$B:$B,sum_pos_20260622!$A8,INDEX(result_20260622!$A:$Z,0,MATCH(sum_pos_20260622!F$1,result_20260622!$1:$1,0)))</f>
        <v>0</v>
      </c>
      <c r="G8">
        <f>SUMIF(result_20260622!$B:$B,sum_pos_20260622!$A8,INDEX(result_20260622!$A:$Z,0,MATCH(sum_pos_20260622!G$1,result_20260622!$1:$1,0)))</f>
        <v>0</v>
      </c>
      <c r="H8">
        <f>SUMIF(result_20260622!$B:$B,sum_pos_20260622!$A8,INDEX(result_20260622!$A:$Z,0,MATCH(sum_pos_20260622!H$1,result_20260622!$1:$1,0)))</f>
        <v>0</v>
      </c>
      <c r="I8">
        <f>SUMIF(result_20260622!$B:$B,sum_pos_20260622!$A8,INDEX(result_20260622!$A:$Z,0,MATCH(sum_pos_20260622!I$1,result_20260622!$1:$1,0)))</f>
        <v>20</v>
      </c>
      <c r="J8">
        <f>SUMIF(result_20260622!$B:$B,sum_pos_20260622!$A8,INDEX(result_20260622!$A:$Z,0,MATCH(sum_pos_20260622!J$1,result_20260622!$1:$1,0)))</f>
        <v>0</v>
      </c>
      <c r="K8">
        <f>SUMIF(result_20260622!$B:$B,sum_pos_20260622!$A8,INDEX(result_20260622!$A:$Z,0,MATCH(sum_pos_20260622!K$1,result_20260622!$1:$1,0)))</f>
        <v>0</v>
      </c>
      <c r="L8">
        <f>SUMIF(result_20260622!$B:$B,sum_pos_20260622!$A8,INDEX(result_20260622!$A:$Z,0,MATCH(sum_pos_20260622!L$1,result_20260622!$1:$1,0)))</f>
        <v>4</v>
      </c>
      <c r="M8">
        <f>SUMIF(result_20260622!$B:$B,sum_pos_20260622!$A8,INDEX(result_20260622!$A:$Z,0,MATCH(sum_pos_20260622!M$1,result_20260622!$1:$1,0)))</f>
        <v>0</v>
      </c>
      <c r="N8">
        <f>SUMIF(result_20260622!$B:$B,sum_pos_20260622!$A8,INDEX(result_20260622!$A:$Z,0,MATCH(sum_pos_20260622!N$1,result_20260622!$1:$1,0)))</f>
        <v>0</v>
      </c>
      <c r="O8">
        <f>SUMIF(result_20260622!$B:$B,sum_pos_20260622!$A8,INDEX(result_20260622!$A:$Z,0,MATCH(sum_pos_20260622!O$1,result_20260622!$1:$1,0)))</f>
        <v>0</v>
      </c>
      <c r="P8">
        <f t="shared" si="0"/>
        <v>24</v>
      </c>
      <c r="Q8" s="8">
        <f t="shared" si="1"/>
        <v>8.3333333333333329E-2</v>
      </c>
    </row>
    <row r="9" spans="1:17">
      <c r="A9" t="s">
        <v>13</v>
      </c>
      <c r="B9">
        <f>SUMIF(result_20260622!$B:$B,sum_pos_20260622!$A9,INDEX(result_20260622!$A:$Z,0,MATCH(sum_pos_20260622!B$1,result_20260622!$1:$1,0)))</f>
        <v>0</v>
      </c>
      <c r="C9">
        <f>SUMIF(result_20260622!$B:$B,sum_pos_20260622!$A9,INDEX(result_20260622!$A:$Z,0,MATCH(sum_pos_20260622!C$1,result_20260622!$1:$1,0)))</f>
        <v>0</v>
      </c>
      <c r="D9">
        <f>SUMIF(result_20260622!$B:$B,sum_pos_20260622!$A9,INDEX(result_20260622!$A:$Z,0,MATCH(sum_pos_20260622!D$1,result_20260622!$1:$1,0)))</f>
        <v>0</v>
      </c>
      <c r="E9">
        <f>SUMIF(result_20260622!$B:$B,sum_pos_20260622!$A9,INDEX(result_20260622!$A:$Z,0,MATCH(sum_pos_20260622!E$1,result_20260622!$1:$1,0)))</f>
        <v>6</v>
      </c>
      <c r="F9">
        <f>SUMIF(result_20260622!$B:$B,sum_pos_20260622!$A9,INDEX(result_20260622!$A:$Z,0,MATCH(sum_pos_20260622!F$1,result_20260622!$1:$1,0)))</f>
        <v>0</v>
      </c>
      <c r="G9">
        <f>SUMIF(result_20260622!$B:$B,sum_pos_20260622!$A9,INDEX(result_20260622!$A:$Z,0,MATCH(sum_pos_20260622!G$1,result_20260622!$1:$1,0)))</f>
        <v>0</v>
      </c>
      <c r="H9">
        <f>SUMIF(result_20260622!$B:$B,sum_pos_20260622!$A9,INDEX(result_20260622!$A:$Z,0,MATCH(sum_pos_20260622!H$1,result_20260622!$1:$1,0)))</f>
        <v>0</v>
      </c>
      <c r="I9">
        <f>SUMIF(result_20260622!$B:$B,sum_pos_20260622!$A9,INDEX(result_20260622!$A:$Z,0,MATCH(sum_pos_20260622!I$1,result_20260622!$1:$1,0)))</f>
        <v>6</v>
      </c>
      <c r="J9">
        <f>SUMIF(result_20260622!$B:$B,sum_pos_20260622!$A9,INDEX(result_20260622!$A:$Z,0,MATCH(sum_pos_20260622!J$1,result_20260622!$1:$1,0)))</f>
        <v>0</v>
      </c>
      <c r="K9">
        <f>SUMIF(result_20260622!$B:$B,sum_pos_20260622!$A9,INDEX(result_20260622!$A:$Z,0,MATCH(sum_pos_20260622!K$1,result_20260622!$1:$1,0)))</f>
        <v>0</v>
      </c>
      <c r="L9">
        <f>SUMIF(result_20260622!$B:$B,sum_pos_20260622!$A9,INDEX(result_20260622!$A:$Z,0,MATCH(sum_pos_20260622!L$1,result_20260622!$1:$1,0)))</f>
        <v>0</v>
      </c>
      <c r="M9">
        <f>SUMIF(result_20260622!$B:$B,sum_pos_20260622!$A9,INDEX(result_20260622!$A:$Z,0,MATCH(sum_pos_20260622!M$1,result_20260622!$1:$1,0)))</f>
        <v>0</v>
      </c>
      <c r="N9">
        <f>SUMIF(result_20260622!$B:$B,sum_pos_20260622!$A9,INDEX(result_20260622!$A:$Z,0,MATCH(sum_pos_20260622!N$1,result_20260622!$1:$1,0)))</f>
        <v>0</v>
      </c>
      <c r="O9">
        <f>SUMIF(result_20260622!$B:$B,sum_pos_20260622!$A9,INDEX(result_20260622!$A:$Z,0,MATCH(sum_pos_20260622!O$1,result_20260622!$1:$1,0)))</f>
        <v>0</v>
      </c>
      <c r="P9">
        <f t="shared" si="0"/>
        <v>6</v>
      </c>
      <c r="Q9" s="8">
        <f t="shared" si="1"/>
        <v>0</v>
      </c>
    </row>
    <row r="10" spans="1:17">
      <c r="A10" t="s">
        <v>14</v>
      </c>
      <c r="B10">
        <f>SUMIF(result_20260622!$B:$B,sum_pos_20260622!$A10,INDEX(result_20260622!$A:$Z,0,MATCH(sum_pos_20260622!B$1,result_20260622!$1:$1,0)))</f>
        <v>0</v>
      </c>
      <c r="C10">
        <f>SUMIF(result_20260622!$B:$B,sum_pos_20260622!$A10,INDEX(result_20260622!$A:$Z,0,MATCH(sum_pos_20260622!C$1,result_20260622!$1:$1,0)))</f>
        <v>4</v>
      </c>
      <c r="D10">
        <f>SUMIF(result_20260622!$B:$B,sum_pos_20260622!$A10,INDEX(result_20260622!$A:$Z,0,MATCH(sum_pos_20260622!D$1,result_20260622!$1:$1,0)))</f>
        <v>1</v>
      </c>
      <c r="E10">
        <f>SUMIF(result_20260622!$B:$B,sum_pos_20260622!$A10,INDEX(result_20260622!$A:$Z,0,MATCH(sum_pos_20260622!E$1,result_20260622!$1:$1,0)))</f>
        <v>19</v>
      </c>
      <c r="F10">
        <f>SUMIF(result_20260622!$B:$B,sum_pos_20260622!$A10,INDEX(result_20260622!$A:$Z,0,MATCH(sum_pos_20260622!F$1,result_20260622!$1:$1,0)))</f>
        <v>0</v>
      </c>
      <c r="G10">
        <f>SUMIF(result_20260622!$B:$B,sum_pos_20260622!$A10,INDEX(result_20260622!$A:$Z,0,MATCH(sum_pos_20260622!G$1,result_20260622!$1:$1,0)))</f>
        <v>0</v>
      </c>
      <c r="H10">
        <f>SUMIF(result_20260622!$B:$B,sum_pos_20260622!$A10,INDEX(result_20260622!$A:$Z,0,MATCH(sum_pos_20260622!H$1,result_20260622!$1:$1,0)))</f>
        <v>1</v>
      </c>
      <c r="I10">
        <f>SUMIF(result_20260622!$B:$B,sum_pos_20260622!$A10,INDEX(result_20260622!$A:$Z,0,MATCH(sum_pos_20260622!I$1,result_20260622!$1:$1,0)))</f>
        <v>18</v>
      </c>
      <c r="J10">
        <f>SUMIF(result_20260622!$B:$B,sum_pos_20260622!$A10,INDEX(result_20260622!$A:$Z,0,MATCH(sum_pos_20260622!J$1,result_20260622!$1:$1,0)))</f>
        <v>0</v>
      </c>
      <c r="K10">
        <f>SUMIF(result_20260622!$B:$B,sum_pos_20260622!$A10,INDEX(result_20260622!$A:$Z,0,MATCH(sum_pos_20260622!K$1,result_20260622!$1:$1,0)))</f>
        <v>1</v>
      </c>
      <c r="L10">
        <f>SUMIF(result_20260622!$B:$B,sum_pos_20260622!$A10,INDEX(result_20260622!$A:$Z,0,MATCH(sum_pos_20260622!L$1,result_20260622!$1:$1,0)))</f>
        <v>2</v>
      </c>
      <c r="M10">
        <f>SUMIF(result_20260622!$B:$B,sum_pos_20260622!$A10,INDEX(result_20260622!$A:$Z,0,MATCH(sum_pos_20260622!M$1,result_20260622!$1:$1,0)))</f>
        <v>0</v>
      </c>
      <c r="N10">
        <f>SUMIF(result_20260622!$B:$B,sum_pos_20260622!$A10,INDEX(result_20260622!$A:$Z,0,MATCH(sum_pos_20260622!N$1,result_20260622!$1:$1,0)))</f>
        <v>0</v>
      </c>
      <c r="O10">
        <f>SUMIF(result_20260622!$B:$B,sum_pos_20260622!$A10,INDEX(result_20260622!$A:$Z,0,MATCH(sum_pos_20260622!O$1,result_20260622!$1:$1,0)))</f>
        <v>2</v>
      </c>
      <c r="P10">
        <f t="shared" si="0"/>
        <v>24</v>
      </c>
      <c r="Q10" s="8">
        <f t="shared" si="1"/>
        <v>0.16666666666666666</v>
      </c>
    </row>
    <row r="11" spans="1:17">
      <c r="A11" s="24" t="s">
        <v>35</v>
      </c>
      <c r="B11" s="24">
        <f>SUM(B2:B10)</f>
        <v>0</v>
      </c>
      <c r="C11" s="24">
        <f t="shared" ref="C11:P11" si="2">SUM(C2:C10)</f>
        <v>22</v>
      </c>
      <c r="D11" s="24">
        <f t="shared" si="2"/>
        <v>10</v>
      </c>
      <c r="E11" s="24">
        <f t="shared" si="2"/>
        <v>130</v>
      </c>
      <c r="F11" s="24">
        <f t="shared" si="2"/>
        <v>1</v>
      </c>
      <c r="G11" s="24">
        <f t="shared" si="2"/>
        <v>0</v>
      </c>
      <c r="H11" s="24">
        <f t="shared" si="2"/>
        <v>2</v>
      </c>
      <c r="I11" s="24">
        <f t="shared" si="2"/>
        <v>113</v>
      </c>
      <c r="J11" s="24">
        <f t="shared" si="2"/>
        <v>8</v>
      </c>
      <c r="K11" s="24">
        <f t="shared" si="2"/>
        <v>7</v>
      </c>
      <c r="L11" s="24">
        <f t="shared" si="2"/>
        <v>11</v>
      </c>
      <c r="M11" s="24">
        <f t="shared" si="2"/>
        <v>14</v>
      </c>
      <c r="N11" s="24">
        <f t="shared" si="2"/>
        <v>0</v>
      </c>
      <c r="O11" s="24">
        <f t="shared" si="2"/>
        <v>2</v>
      </c>
      <c r="P11" s="24">
        <f t="shared" si="2"/>
        <v>162</v>
      </c>
      <c r="Q11" s="25">
        <f t="shared" ref="Q11" si="3">SUM(B11+C11)/P11</f>
        <v>0.13580246913580246</v>
      </c>
    </row>
    <row r="13" spans="1:17">
      <c r="A13" t="s">
        <v>74</v>
      </c>
    </row>
    <row r="14" spans="1:17">
      <c r="A14" s="24" t="s">
        <v>3</v>
      </c>
      <c r="B14" s="24" t="s">
        <v>0</v>
      </c>
      <c r="C14" s="24" t="s">
        <v>16</v>
      </c>
      <c r="D14" s="24" t="s">
        <v>21</v>
      </c>
      <c r="E14" s="24" t="s">
        <v>17</v>
      </c>
      <c r="F14" s="24" t="s">
        <v>69</v>
      </c>
      <c r="G14" s="24" t="s">
        <v>1</v>
      </c>
      <c r="H14" s="24" t="s">
        <v>98</v>
      </c>
      <c r="I14" s="24" t="s">
        <v>62</v>
      </c>
      <c r="J14" s="24" t="s">
        <v>96</v>
      </c>
      <c r="K14" s="24" t="s">
        <v>72</v>
      </c>
      <c r="L14" s="24" t="s">
        <v>18</v>
      </c>
      <c r="M14" s="24" t="s">
        <v>23</v>
      </c>
      <c r="N14" s="24" t="s">
        <v>71</v>
      </c>
      <c r="O14" s="24" t="s">
        <v>70</v>
      </c>
      <c r="P14" s="24" t="s">
        <v>33</v>
      </c>
      <c r="Q14" s="25" t="s">
        <v>34</v>
      </c>
    </row>
    <row r="15" spans="1:17">
      <c r="A15" t="s">
        <v>6</v>
      </c>
      <c r="B15">
        <f>SUMIF(result_20260622!$B:$B,sum_pos_20260622!$A15,INDEX(result_20260622!$A:$Z,0,MATCH(sum_pos_20260622!B$1,result_20260622!$1:$1,0)))</f>
        <v>0</v>
      </c>
      <c r="C15">
        <f>SUMIF(result_20260622!$B:$B,sum_pos_20260622!$A15,INDEX(result_20260622!$A:$Z,0,MATCH(sum_pos_20260622!C$1,result_20260622!$1:$1,0)))</f>
        <v>4</v>
      </c>
      <c r="D15">
        <f>SUMIF(result_20260622!$B:$B,sum_pos_20260622!$A15,INDEX(result_20260622!$A:$Z,0,MATCH(sum_pos_20260622!D$1,result_20260622!$1:$1,0)))</f>
        <v>2</v>
      </c>
      <c r="E15">
        <f>SUMIF(result_20260622!$B:$B,sum_pos_20260622!$A15,INDEX(result_20260622!$A:$Z,0,MATCH(sum_pos_20260622!E$1,result_20260622!$1:$1,0)))</f>
        <v>18</v>
      </c>
      <c r="F15">
        <f>SUMIF(result_20260622!$B:$B,sum_pos_20260622!$A15,INDEX(result_20260622!$A:$Z,0,MATCH(sum_pos_20260622!F$1,result_20260622!$1:$1,0)))</f>
        <v>0</v>
      </c>
      <c r="G15">
        <f>SUMIF(result_20260622!$B:$B,sum_pos_20260622!$A15,INDEX(result_20260622!$A:$Z,0,MATCH(sum_pos_20260622!G$1,result_20260622!$1:$1,0)))</f>
        <v>0</v>
      </c>
      <c r="H15">
        <f>SUMIF(result_20260622!$B:$B,sum_pos_20260622!$A15,INDEX(result_20260622!$A:$Z,0,MATCH(sum_pos_20260622!H$1,result_20260622!$1:$1,0)))</f>
        <v>0</v>
      </c>
      <c r="I15">
        <f>SUMIF(result_20260622!$B:$B,sum_pos_20260622!$A15,INDEX(result_20260622!$A:$Z,0,MATCH(sum_pos_20260622!I$1,result_20260622!$1:$1,0)))</f>
        <v>15</v>
      </c>
      <c r="J15">
        <f>SUMIF(result_20260622!$B:$B,sum_pos_20260622!$A15,INDEX(result_20260622!$A:$Z,0,MATCH(sum_pos_20260622!J$1,result_20260622!$1:$1,0)))</f>
        <v>2</v>
      </c>
      <c r="K15">
        <f>SUMIF(result_20260622!$B:$B,sum_pos_20260622!$A15,INDEX(result_20260622!$A:$Z,0,MATCH(sum_pos_20260622!K$1,result_20260622!$1:$1,0)))</f>
        <v>1</v>
      </c>
      <c r="L15">
        <f>SUMIF(result_20260622!$B:$B,sum_pos_20260622!$A15,INDEX(result_20260622!$A:$Z,0,MATCH(sum_pos_20260622!L$1,result_20260622!$1:$1,0)))</f>
        <v>2</v>
      </c>
      <c r="M15">
        <f>SUMIF(result_20260622!$B:$B,sum_pos_20260622!$A15,INDEX(result_20260622!$A:$Z,0,MATCH(sum_pos_20260622!M$1,result_20260622!$1:$1,0)))</f>
        <v>3</v>
      </c>
      <c r="N15">
        <f>SUMIF(result_20260622!$B:$B,sum_pos_20260622!$A15,INDEX(result_20260622!$A:$Z,0,MATCH(sum_pos_20260622!N$1,result_20260622!$1:$1,0)))</f>
        <v>0</v>
      </c>
      <c r="O15">
        <f>SUMIF(result_20260622!$B:$B,sum_pos_20260622!$A15,INDEX(result_20260622!$A:$Z,0,MATCH(sum_pos_20260622!O$1,result_20260622!$1:$1,0)))</f>
        <v>0</v>
      </c>
      <c r="P15">
        <f t="shared" ref="P15:P20" si="4">SUM(B15:E15)</f>
        <v>24</v>
      </c>
      <c r="Q15" s="8">
        <f t="shared" ref="Q15:Q20" si="5">SUM(B15:C15)/P15</f>
        <v>0.16666666666666666</v>
      </c>
    </row>
    <row r="16" spans="1:17">
      <c r="A16" t="s">
        <v>8</v>
      </c>
      <c r="B16">
        <f>SUMIF(result_20260622!$B:$B,sum_pos_20260622!$A16,INDEX(result_20260622!$A:$Z,0,MATCH(sum_pos_20260622!B$1,result_20260622!$1:$1,0)))</f>
        <v>0</v>
      </c>
      <c r="C16">
        <f>SUMIF(result_20260622!$B:$B,sum_pos_20260622!$A16,INDEX(result_20260622!$A:$Z,0,MATCH(sum_pos_20260622!C$1,result_20260622!$1:$1,0)))</f>
        <v>4</v>
      </c>
      <c r="D16">
        <f>SUMIF(result_20260622!$B:$B,sum_pos_20260622!$A16,INDEX(result_20260622!$A:$Z,0,MATCH(sum_pos_20260622!D$1,result_20260622!$1:$1,0)))</f>
        <v>0</v>
      </c>
      <c r="E16">
        <f>SUMIF(result_20260622!$B:$B,sum_pos_20260622!$A16,INDEX(result_20260622!$A:$Z,0,MATCH(sum_pos_20260622!E$1,result_20260622!$1:$1,0)))</f>
        <v>20</v>
      </c>
      <c r="F16">
        <f>SUMIF(result_20260622!$B:$B,sum_pos_20260622!$A16,INDEX(result_20260622!$A:$Z,0,MATCH(sum_pos_20260622!F$1,result_20260622!$1:$1,0)))</f>
        <v>0</v>
      </c>
      <c r="G16">
        <f>SUMIF(result_20260622!$B:$B,sum_pos_20260622!$A16,INDEX(result_20260622!$A:$Z,0,MATCH(sum_pos_20260622!G$1,result_20260622!$1:$1,0)))</f>
        <v>0</v>
      </c>
      <c r="H16">
        <f>SUMIF(result_20260622!$B:$B,sum_pos_20260622!$A16,INDEX(result_20260622!$A:$Z,0,MATCH(sum_pos_20260622!H$1,result_20260622!$1:$1,0)))</f>
        <v>0</v>
      </c>
      <c r="I16">
        <f>SUMIF(result_20260622!$B:$B,sum_pos_20260622!$A16,INDEX(result_20260622!$A:$Z,0,MATCH(sum_pos_20260622!I$1,result_20260622!$1:$1,0)))</f>
        <v>17</v>
      </c>
      <c r="J16">
        <f>SUMIF(result_20260622!$B:$B,sum_pos_20260622!$A16,INDEX(result_20260622!$A:$Z,0,MATCH(sum_pos_20260622!J$1,result_20260622!$1:$1,0)))</f>
        <v>0</v>
      </c>
      <c r="K16">
        <f>SUMIF(result_20260622!$B:$B,sum_pos_20260622!$A16,INDEX(result_20260622!$A:$Z,0,MATCH(sum_pos_20260622!K$1,result_20260622!$1:$1,0)))</f>
        <v>1</v>
      </c>
      <c r="L16">
        <f>SUMIF(result_20260622!$B:$B,sum_pos_20260622!$A16,INDEX(result_20260622!$A:$Z,0,MATCH(sum_pos_20260622!L$1,result_20260622!$1:$1,0)))</f>
        <v>1</v>
      </c>
      <c r="M16">
        <f>SUMIF(result_20260622!$B:$B,sum_pos_20260622!$A16,INDEX(result_20260622!$A:$Z,0,MATCH(sum_pos_20260622!M$1,result_20260622!$1:$1,0)))</f>
        <v>5</v>
      </c>
      <c r="N16">
        <f>SUMIF(result_20260622!$B:$B,sum_pos_20260622!$A16,INDEX(result_20260622!$A:$Z,0,MATCH(sum_pos_20260622!N$1,result_20260622!$1:$1,0)))</f>
        <v>0</v>
      </c>
      <c r="O16">
        <f>SUMIF(result_20260622!$B:$B,sum_pos_20260622!$A16,INDEX(result_20260622!$A:$Z,0,MATCH(sum_pos_20260622!O$1,result_20260622!$1:$1,0)))</f>
        <v>0</v>
      </c>
      <c r="P16">
        <f t="shared" si="4"/>
        <v>24</v>
      </c>
      <c r="Q16" s="8">
        <f t="shared" si="5"/>
        <v>0.16666666666666666</v>
      </c>
    </row>
    <row r="17" spans="1:17">
      <c r="A17" t="s">
        <v>9</v>
      </c>
      <c r="B17">
        <f>SUMIF(result_20260622!$B:$B,sum_pos_20260622!$A17,INDEX(result_20260622!$A:$Z,0,MATCH(sum_pos_20260622!B$1,result_20260622!$1:$1,0)))</f>
        <v>0</v>
      </c>
      <c r="C17">
        <f>SUMIF(result_20260622!$B:$B,sum_pos_20260622!$A17,INDEX(result_20260622!$A:$Z,0,MATCH(sum_pos_20260622!C$1,result_20260622!$1:$1,0)))</f>
        <v>2</v>
      </c>
      <c r="D17">
        <f>SUMIF(result_20260622!$B:$B,sum_pos_20260622!$A17,INDEX(result_20260622!$A:$Z,0,MATCH(sum_pos_20260622!D$1,result_20260622!$1:$1,0)))</f>
        <v>3</v>
      </c>
      <c r="E17">
        <f>SUMIF(result_20260622!$B:$B,sum_pos_20260622!$A17,INDEX(result_20260622!$A:$Z,0,MATCH(sum_pos_20260622!E$1,result_20260622!$1:$1,0)))</f>
        <v>19</v>
      </c>
      <c r="F17">
        <f>SUMIF(result_20260622!$B:$B,sum_pos_20260622!$A17,INDEX(result_20260622!$A:$Z,0,MATCH(sum_pos_20260622!F$1,result_20260622!$1:$1,0)))</f>
        <v>1</v>
      </c>
      <c r="G17">
        <f>SUMIF(result_20260622!$B:$B,sum_pos_20260622!$A17,INDEX(result_20260622!$A:$Z,0,MATCH(sum_pos_20260622!G$1,result_20260622!$1:$1,0)))</f>
        <v>0</v>
      </c>
      <c r="H17">
        <f>SUMIF(result_20260622!$B:$B,sum_pos_20260622!$A17,INDEX(result_20260622!$A:$Z,0,MATCH(sum_pos_20260622!H$1,result_20260622!$1:$1,0)))</f>
        <v>1</v>
      </c>
      <c r="I17">
        <f>SUMIF(result_20260622!$B:$B,sum_pos_20260622!$A17,INDEX(result_20260622!$A:$Z,0,MATCH(sum_pos_20260622!I$1,result_20260622!$1:$1,0)))</f>
        <v>15</v>
      </c>
      <c r="J17">
        <f>SUMIF(result_20260622!$B:$B,sum_pos_20260622!$A17,INDEX(result_20260622!$A:$Z,0,MATCH(sum_pos_20260622!J$1,result_20260622!$1:$1,0)))</f>
        <v>2</v>
      </c>
      <c r="K17">
        <f>SUMIF(result_20260622!$B:$B,sum_pos_20260622!$A17,INDEX(result_20260622!$A:$Z,0,MATCH(sum_pos_20260622!K$1,result_20260622!$1:$1,0)))</f>
        <v>0</v>
      </c>
      <c r="L17">
        <f>SUMIF(result_20260622!$B:$B,sum_pos_20260622!$A17,INDEX(result_20260622!$A:$Z,0,MATCH(sum_pos_20260622!L$1,result_20260622!$1:$1,0)))</f>
        <v>2</v>
      </c>
      <c r="M17">
        <f>SUMIF(result_20260622!$B:$B,sum_pos_20260622!$A17,INDEX(result_20260622!$A:$Z,0,MATCH(sum_pos_20260622!M$1,result_20260622!$1:$1,0)))</f>
        <v>3</v>
      </c>
      <c r="N17">
        <f>SUMIF(result_20260622!$B:$B,sum_pos_20260622!$A17,INDEX(result_20260622!$A:$Z,0,MATCH(sum_pos_20260622!N$1,result_20260622!$1:$1,0)))</f>
        <v>0</v>
      </c>
      <c r="O17">
        <f>SUMIF(result_20260622!$B:$B,sum_pos_20260622!$A17,INDEX(result_20260622!$A:$Z,0,MATCH(sum_pos_20260622!O$1,result_20260622!$1:$1,0)))</f>
        <v>0</v>
      </c>
      <c r="P17">
        <f t="shared" si="4"/>
        <v>24</v>
      </c>
      <c r="Q17" s="8">
        <f t="shared" si="5"/>
        <v>8.3333333333333329E-2</v>
      </c>
    </row>
    <row r="18" spans="1:17">
      <c r="A18" t="s">
        <v>11</v>
      </c>
      <c r="B18">
        <f>SUMIF(result_20260622!$B:$B,sum_pos_20260622!$A18,INDEX(result_20260622!$A:$Z,0,MATCH(sum_pos_20260622!B$1,result_20260622!$1:$1,0)))</f>
        <v>0</v>
      </c>
      <c r="C18">
        <f>SUMIF(result_20260622!$B:$B,sum_pos_20260622!$A18,INDEX(result_20260622!$A:$Z,0,MATCH(sum_pos_20260622!C$1,result_20260622!$1:$1,0)))</f>
        <v>4</v>
      </c>
      <c r="D18">
        <f>SUMIF(result_20260622!$B:$B,sum_pos_20260622!$A18,INDEX(result_20260622!$A:$Z,0,MATCH(sum_pos_20260622!D$1,result_20260622!$1:$1,0)))</f>
        <v>2</v>
      </c>
      <c r="E18">
        <f>SUMIF(result_20260622!$B:$B,sum_pos_20260622!$A18,INDEX(result_20260622!$A:$Z,0,MATCH(sum_pos_20260622!E$1,result_20260622!$1:$1,0)))</f>
        <v>18</v>
      </c>
      <c r="F18">
        <f>SUMIF(result_20260622!$B:$B,sum_pos_20260622!$A18,INDEX(result_20260622!$A:$Z,0,MATCH(sum_pos_20260622!F$1,result_20260622!$1:$1,0)))</f>
        <v>0</v>
      </c>
      <c r="G18">
        <f>SUMIF(result_20260622!$B:$B,sum_pos_20260622!$A18,INDEX(result_20260622!$A:$Z,0,MATCH(sum_pos_20260622!G$1,result_20260622!$1:$1,0)))</f>
        <v>0</v>
      </c>
      <c r="H18">
        <f>SUMIF(result_20260622!$B:$B,sum_pos_20260622!$A18,INDEX(result_20260622!$A:$Z,0,MATCH(sum_pos_20260622!H$1,result_20260622!$1:$1,0)))</f>
        <v>0</v>
      </c>
      <c r="I18">
        <f>SUMIF(result_20260622!$B:$B,sum_pos_20260622!$A18,INDEX(result_20260622!$A:$Z,0,MATCH(sum_pos_20260622!I$1,result_20260622!$1:$1,0)))</f>
        <v>15</v>
      </c>
      <c r="J18">
        <f>SUMIF(result_20260622!$B:$B,sum_pos_20260622!$A18,INDEX(result_20260622!$A:$Z,0,MATCH(sum_pos_20260622!J$1,result_20260622!$1:$1,0)))</f>
        <v>2</v>
      </c>
      <c r="K18">
        <f>SUMIF(result_20260622!$B:$B,sum_pos_20260622!$A18,INDEX(result_20260622!$A:$Z,0,MATCH(sum_pos_20260622!K$1,result_20260622!$1:$1,0)))</f>
        <v>4</v>
      </c>
      <c r="L18">
        <f>SUMIF(result_20260622!$B:$B,sum_pos_20260622!$A18,INDEX(result_20260622!$A:$Z,0,MATCH(sum_pos_20260622!L$1,result_20260622!$1:$1,0)))</f>
        <v>0</v>
      </c>
      <c r="M18">
        <f>SUMIF(result_20260622!$B:$B,sum_pos_20260622!$A18,INDEX(result_20260622!$A:$Z,0,MATCH(sum_pos_20260622!M$1,result_20260622!$1:$1,0)))</f>
        <v>3</v>
      </c>
      <c r="N18">
        <f>SUMIF(result_20260622!$B:$B,sum_pos_20260622!$A18,INDEX(result_20260622!$A:$Z,0,MATCH(sum_pos_20260622!N$1,result_20260622!$1:$1,0)))</f>
        <v>0</v>
      </c>
      <c r="O18">
        <f>SUMIF(result_20260622!$B:$B,sum_pos_20260622!$A18,INDEX(result_20260622!$A:$Z,0,MATCH(sum_pos_20260622!O$1,result_20260622!$1:$1,0)))</f>
        <v>0</v>
      </c>
      <c r="P18">
        <f t="shared" si="4"/>
        <v>24</v>
      </c>
      <c r="Q18" s="8">
        <f t="shared" si="5"/>
        <v>0.16666666666666666</v>
      </c>
    </row>
    <row r="19" spans="1:17">
      <c r="A19" t="s">
        <v>12</v>
      </c>
      <c r="B19">
        <f>SUMIF(result_20260622!$B:$B,sum_pos_20260622!$A19,INDEX(result_20260622!$A:$Z,0,MATCH(sum_pos_20260622!B$1,result_20260622!$1:$1,0)))</f>
        <v>0</v>
      </c>
      <c r="C19">
        <f>SUMIF(result_20260622!$B:$B,sum_pos_20260622!$A19,INDEX(result_20260622!$A:$Z,0,MATCH(sum_pos_20260622!C$1,result_20260622!$1:$1,0)))</f>
        <v>2</v>
      </c>
      <c r="D19">
        <f>SUMIF(result_20260622!$B:$B,sum_pos_20260622!$A19,INDEX(result_20260622!$A:$Z,0,MATCH(sum_pos_20260622!D$1,result_20260622!$1:$1,0)))</f>
        <v>2</v>
      </c>
      <c r="E19">
        <f>SUMIF(result_20260622!$B:$B,sum_pos_20260622!$A19,INDEX(result_20260622!$A:$Z,0,MATCH(sum_pos_20260622!E$1,result_20260622!$1:$1,0)))</f>
        <v>20</v>
      </c>
      <c r="F19">
        <f>SUMIF(result_20260622!$B:$B,sum_pos_20260622!$A19,INDEX(result_20260622!$A:$Z,0,MATCH(sum_pos_20260622!F$1,result_20260622!$1:$1,0)))</f>
        <v>0</v>
      </c>
      <c r="G19">
        <f>SUMIF(result_20260622!$B:$B,sum_pos_20260622!$A19,INDEX(result_20260622!$A:$Z,0,MATCH(sum_pos_20260622!G$1,result_20260622!$1:$1,0)))</f>
        <v>0</v>
      </c>
      <c r="H19">
        <f>SUMIF(result_20260622!$B:$B,sum_pos_20260622!$A19,INDEX(result_20260622!$A:$Z,0,MATCH(sum_pos_20260622!H$1,result_20260622!$1:$1,0)))</f>
        <v>0</v>
      </c>
      <c r="I19">
        <f>SUMIF(result_20260622!$B:$B,sum_pos_20260622!$A19,INDEX(result_20260622!$A:$Z,0,MATCH(sum_pos_20260622!I$1,result_20260622!$1:$1,0)))</f>
        <v>20</v>
      </c>
      <c r="J19">
        <f>SUMIF(result_20260622!$B:$B,sum_pos_20260622!$A19,INDEX(result_20260622!$A:$Z,0,MATCH(sum_pos_20260622!J$1,result_20260622!$1:$1,0)))</f>
        <v>0</v>
      </c>
      <c r="K19">
        <f>SUMIF(result_20260622!$B:$B,sum_pos_20260622!$A19,INDEX(result_20260622!$A:$Z,0,MATCH(sum_pos_20260622!K$1,result_20260622!$1:$1,0)))</f>
        <v>0</v>
      </c>
      <c r="L19">
        <f>SUMIF(result_20260622!$B:$B,sum_pos_20260622!$A19,INDEX(result_20260622!$A:$Z,0,MATCH(sum_pos_20260622!L$1,result_20260622!$1:$1,0)))</f>
        <v>4</v>
      </c>
      <c r="M19">
        <f>SUMIF(result_20260622!$B:$B,sum_pos_20260622!$A19,INDEX(result_20260622!$A:$Z,0,MATCH(sum_pos_20260622!M$1,result_20260622!$1:$1,0)))</f>
        <v>0</v>
      </c>
      <c r="N19">
        <f>SUMIF(result_20260622!$B:$B,sum_pos_20260622!$A19,INDEX(result_20260622!$A:$Z,0,MATCH(sum_pos_20260622!N$1,result_20260622!$1:$1,0)))</f>
        <v>0</v>
      </c>
      <c r="O19">
        <f>SUMIF(result_20260622!$B:$B,sum_pos_20260622!$A19,INDEX(result_20260622!$A:$Z,0,MATCH(sum_pos_20260622!O$1,result_20260622!$1:$1,0)))</f>
        <v>0</v>
      </c>
      <c r="P19">
        <f t="shared" si="4"/>
        <v>24</v>
      </c>
      <c r="Q19" s="8">
        <f t="shared" si="5"/>
        <v>8.3333333333333329E-2</v>
      </c>
    </row>
    <row r="20" spans="1:17">
      <c r="A20" t="s">
        <v>14</v>
      </c>
      <c r="B20">
        <f>SUMIF(result_20260622!$B:$B,sum_pos_20260622!$A20,INDEX(result_20260622!$A:$Z,0,MATCH(sum_pos_20260622!B$1,result_20260622!$1:$1,0)))</f>
        <v>0</v>
      </c>
      <c r="C20">
        <f>SUMIF(result_20260622!$B:$B,sum_pos_20260622!$A20,INDEX(result_20260622!$A:$Z,0,MATCH(sum_pos_20260622!C$1,result_20260622!$1:$1,0)))</f>
        <v>4</v>
      </c>
      <c r="D20">
        <f>SUMIF(result_20260622!$B:$B,sum_pos_20260622!$A20,INDEX(result_20260622!$A:$Z,0,MATCH(sum_pos_20260622!D$1,result_20260622!$1:$1,0)))</f>
        <v>1</v>
      </c>
      <c r="E20">
        <f>SUMIF(result_20260622!$B:$B,sum_pos_20260622!$A20,INDEX(result_20260622!$A:$Z,0,MATCH(sum_pos_20260622!E$1,result_20260622!$1:$1,0)))</f>
        <v>19</v>
      </c>
      <c r="F20">
        <f>SUMIF(result_20260622!$B:$B,sum_pos_20260622!$A20,INDEX(result_20260622!$A:$Z,0,MATCH(sum_pos_20260622!F$1,result_20260622!$1:$1,0)))</f>
        <v>0</v>
      </c>
      <c r="G20">
        <f>SUMIF(result_20260622!$B:$B,sum_pos_20260622!$A20,INDEX(result_20260622!$A:$Z,0,MATCH(sum_pos_20260622!G$1,result_20260622!$1:$1,0)))</f>
        <v>0</v>
      </c>
      <c r="H20">
        <f>SUMIF(result_20260622!$B:$B,sum_pos_20260622!$A20,INDEX(result_20260622!$A:$Z,0,MATCH(sum_pos_20260622!H$1,result_20260622!$1:$1,0)))</f>
        <v>1</v>
      </c>
      <c r="I20">
        <f>SUMIF(result_20260622!$B:$B,sum_pos_20260622!$A20,INDEX(result_20260622!$A:$Z,0,MATCH(sum_pos_20260622!I$1,result_20260622!$1:$1,0)))</f>
        <v>18</v>
      </c>
      <c r="J20">
        <f>SUMIF(result_20260622!$B:$B,sum_pos_20260622!$A20,INDEX(result_20260622!$A:$Z,0,MATCH(sum_pos_20260622!J$1,result_20260622!$1:$1,0)))</f>
        <v>0</v>
      </c>
      <c r="K20">
        <f>SUMIF(result_20260622!$B:$B,sum_pos_20260622!$A20,INDEX(result_20260622!$A:$Z,0,MATCH(sum_pos_20260622!K$1,result_20260622!$1:$1,0)))</f>
        <v>1</v>
      </c>
      <c r="L20">
        <f>SUMIF(result_20260622!$B:$B,sum_pos_20260622!$A20,INDEX(result_20260622!$A:$Z,0,MATCH(sum_pos_20260622!L$1,result_20260622!$1:$1,0)))</f>
        <v>2</v>
      </c>
      <c r="M20">
        <f>SUMIF(result_20260622!$B:$B,sum_pos_20260622!$A20,INDEX(result_20260622!$A:$Z,0,MATCH(sum_pos_20260622!M$1,result_20260622!$1:$1,0)))</f>
        <v>0</v>
      </c>
      <c r="N20">
        <f>SUMIF(result_20260622!$B:$B,sum_pos_20260622!$A20,INDEX(result_20260622!$A:$Z,0,MATCH(sum_pos_20260622!N$1,result_20260622!$1:$1,0)))</f>
        <v>0</v>
      </c>
      <c r="O20">
        <f>SUMIF(result_20260622!$B:$B,sum_pos_20260622!$A20,INDEX(result_20260622!$A:$Z,0,MATCH(sum_pos_20260622!O$1,result_20260622!$1:$1,0)))</f>
        <v>2</v>
      </c>
      <c r="P20">
        <f t="shared" si="4"/>
        <v>24</v>
      </c>
      <c r="Q20" s="8">
        <f t="shared" si="5"/>
        <v>0.16666666666666666</v>
      </c>
    </row>
    <row r="21" spans="1:17">
      <c r="A21" s="24" t="s">
        <v>35</v>
      </c>
      <c r="B21" s="24">
        <f t="shared" ref="B21:P21" si="6">SUM(B15:B20)</f>
        <v>0</v>
      </c>
      <c r="C21" s="24">
        <f t="shared" si="6"/>
        <v>20</v>
      </c>
      <c r="D21" s="24">
        <f t="shared" si="6"/>
        <v>10</v>
      </c>
      <c r="E21" s="24">
        <f t="shared" si="6"/>
        <v>114</v>
      </c>
      <c r="F21" s="24">
        <f t="shared" si="6"/>
        <v>1</v>
      </c>
      <c r="G21" s="24">
        <f t="shared" si="6"/>
        <v>0</v>
      </c>
      <c r="H21" s="24">
        <f t="shared" si="6"/>
        <v>2</v>
      </c>
      <c r="I21" s="24">
        <f t="shared" si="6"/>
        <v>100</v>
      </c>
      <c r="J21" s="24">
        <f t="shared" si="6"/>
        <v>6</v>
      </c>
      <c r="K21" s="24">
        <f t="shared" si="6"/>
        <v>7</v>
      </c>
      <c r="L21" s="24">
        <f t="shared" si="6"/>
        <v>11</v>
      </c>
      <c r="M21" s="24">
        <f t="shared" si="6"/>
        <v>14</v>
      </c>
      <c r="N21" s="24">
        <f t="shared" si="6"/>
        <v>0</v>
      </c>
      <c r="O21" s="24">
        <f t="shared" si="6"/>
        <v>2</v>
      </c>
      <c r="P21" s="24">
        <f t="shared" si="6"/>
        <v>144</v>
      </c>
      <c r="Q21" s="25">
        <f t="shared" ref="Q21" si="7">SUM(B21+C21)/P21</f>
        <v>0.1388888888888889</v>
      </c>
    </row>
  </sheetData>
  <phoneticPr fontId="1" type="noConversion"/>
  <conditionalFormatting sqref="Q2:Q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15:Q2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9C9C7-1F31-4BAF-BB29-6B31FAA90AEA}">
  <sheetPr>
    <tabColor theme="8" tint="0.79998168889431442"/>
  </sheetPr>
  <dimension ref="A1:S27"/>
  <sheetViews>
    <sheetView workbookViewId="0">
      <selection activeCell="C14" sqref="C14"/>
    </sheetView>
  </sheetViews>
  <sheetFormatPr defaultRowHeight="14.25"/>
  <cols>
    <col min="1" max="1" width="49" customWidth="1"/>
    <col min="2" max="2" width="8.25" customWidth="1"/>
    <col min="3" max="3" width="11.25" style="8" bestFit="1" customWidth="1"/>
    <col min="5" max="5" width="2.5" customWidth="1"/>
    <col min="6" max="12" width="10" customWidth="1"/>
    <col min="13" max="17" width="9" style="8"/>
  </cols>
  <sheetData>
    <row r="1" spans="1:18">
      <c r="A1" s="24" t="s">
        <v>39</v>
      </c>
      <c r="B1" s="24" t="s">
        <v>41</v>
      </c>
      <c r="C1" s="25" t="s">
        <v>40</v>
      </c>
      <c r="F1" t="s">
        <v>4</v>
      </c>
      <c r="G1" t="s">
        <v>37</v>
      </c>
      <c r="H1" s="73" t="s">
        <v>82</v>
      </c>
      <c r="I1" s="74" t="s">
        <v>83</v>
      </c>
      <c r="J1" s="74" t="s">
        <v>84</v>
      </c>
      <c r="K1" s="74" t="s">
        <v>85</v>
      </c>
      <c r="L1" s="75" t="s">
        <v>92</v>
      </c>
      <c r="M1" s="59" t="s">
        <v>87</v>
      </c>
      <c r="N1" s="60" t="s">
        <v>88</v>
      </c>
      <c r="O1" s="61" t="s">
        <v>89</v>
      </c>
      <c r="P1" s="62" t="s">
        <v>90</v>
      </c>
      <c r="Q1" s="63" t="s">
        <v>91</v>
      </c>
      <c r="R1" t="s">
        <v>86</v>
      </c>
    </row>
    <row r="2" spans="1:18">
      <c r="A2" s="57" t="s">
        <v>62</v>
      </c>
      <c r="B2">
        <f>result_20260622!I164</f>
        <v>113</v>
      </c>
      <c r="C2" s="8">
        <f t="shared" ref="C2:C11" si="0">B2/$B$21</f>
        <v>0.69753086419753085</v>
      </c>
      <c r="F2">
        <v>1</v>
      </c>
      <c r="G2" cm="1">
        <f t="array" ref="G2">SUMPRODUCT((result_20260622!$A$2:$A$200=sum_fail_20260622!$F2)*result_20260622!$I$2:$R$200)</f>
        <v>24</v>
      </c>
      <c r="H2" s="76" cm="1">
        <f t="array" ref="H2">SUMPRODUCT((result_20260622!$A$2:$A$200=sum_fail_20260622!$F2)*result_20260622!$I$2:$J$200)</f>
        <v>16</v>
      </c>
      <c r="I2" cm="1">
        <f t="array" ref="I2">SUMPRODUCT((result_20260622!$A$2:$A$200=sum_fail_20260622!$F2)*result_20260622!$K$2:$K$200)</f>
        <v>0</v>
      </c>
      <c r="J2" cm="1">
        <f t="array" ref="J2">SUMPRODUCT((result_20260622!$A$2:$A$200=sum_fail_20260622!$F2)*result_20260622!$L$2:$M$200)</f>
        <v>0</v>
      </c>
      <c r="K2" cm="1">
        <f t="array" ref="K2">SUMPRODUCT((result_20260622!$A$2:$A$200=sum_fail_20260622!$F2)*result_20260622!$N$2:$N$200)</f>
        <v>3</v>
      </c>
      <c r="L2" s="77" cm="1">
        <f t="array" ref="L2">SUMPRODUCT((result_20260622!$A$2:$A$200=sum_fail_20260622!$F2)*result_20260622!$O$2:$R$200)</f>
        <v>5</v>
      </c>
      <c r="M2" s="81">
        <f>H2/$G2</f>
        <v>0.66666666666666663</v>
      </c>
      <c r="N2" s="65">
        <f t="shared" ref="N2:Q9" si="1">I2/$G2</f>
        <v>0</v>
      </c>
      <c r="O2" s="66">
        <f t="shared" si="1"/>
        <v>0</v>
      </c>
      <c r="P2" s="67">
        <f t="shared" si="1"/>
        <v>0.125</v>
      </c>
      <c r="Q2" s="86">
        <f t="shared" si="1"/>
        <v>0.20833333333333334</v>
      </c>
      <c r="R2" t="s">
        <v>82</v>
      </c>
    </row>
    <row r="3" spans="1:18">
      <c r="A3" s="57" t="s">
        <v>19</v>
      </c>
      <c r="B3">
        <f>result_20260622!J164</f>
        <v>2</v>
      </c>
      <c r="C3" s="8">
        <f t="shared" si="0"/>
        <v>1.2345679012345678E-2</v>
      </c>
      <c r="F3">
        <v>2</v>
      </c>
      <c r="G3" cm="1">
        <f t="array" ref="G3">SUMPRODUCT((result_20260622!$A$2:$A$200=sum_fail_20260622!$F3)*result_20260622!$I$2:$R$200)</f>
        <v>27</v>
      </c>
      <c r="H3" s="76" cm="1">
        <f t="array" ref="H3">SUMPRODUCT((result_20260622!$A$2:$A$200=sum_fail_20260622!$F3)*result_20260622!$I$2:$J$200)</f>
        <v>21</v>
      </c>
      <c r="I3" cm="1">
        <f t="array" ref="I3">SUMPRODUCT((result_20260622!$A$2:$A$200=sum_fail_20260622!$F3)*result_20260622!$K$2:$K$200)</f>
        <v>0</v>
      </c>
      <c r="J3" cm="1">
        <f t="array" ref="J3">SUMPRODUCT((result_20260622!$A$2:$A$200=sum_fail_20260622!$F3)*result_20260622!$L$2:$M$200)</f>
        <v>0</v>
      </c>
      <c r="K3" cm="1">
        <f t="array" ref="K3">SUMPRODUCT((result_20260622!$A$2:$A$200=sum_fail_20260622!$F3)*result_20260622!$N$2:$N$200)</f>
        <v>3</v>
      </c>
      <c r="L3" s="77" cm="1">
        <f t="array" ref="L3">SUMPRODUCT((result_20260622!$A$2:$A$200=sum_fail_20260622!$F3)*result_20260622!$O$2:$R$200)</f>
        <v>3</v>
      </c>
      <c r="M3" s="81">
        <f t="shared" ref="M3:M9" si="2">H3/$G3</f>
        <v>0.77777777777777779</v>
      </c>
      <c r="N3" s="65">
        <f t="shared" si="1"/>
        <v>0</v>
      </c>
      <c r="O3" s="66">
        <f t="shared" si="1"/>
        <v>0</v>
      </c>
      <c r="P3" s="67">
        <f t="shared" si="1"/>
        <v>0.1111111111111111</v>
      </c>
      <c r="Q3" s="86">
        <f t="shared" si="1"/>
        <v>0.1111111111111111</v>
      </c>
      <c r="R3" t="s">
        <v>82</v>
      </c>
    </row>
    <row r="4" spans="1:18">
      <c r="A4" s="54" t="s">
        <v>1</v>
      </c>
      <c r="B4">
        <f>result_20260622!K164</f>
        <v>0</v>
      </c>
      <c r="C4" s="8">
        <f t="shared" si="0"/>
        <v>0</v>
      </c>
      <c r="F4">
        <v>3</v>
      </c>
      <c r="G4" cm="1">
        <f t="array" ref="G4">SUMPRODUCT((result_20260622!$A$2:$A$200=sum_fail_20260622!$F4)*result_20260622!$I$2:$R$200)</f>
        <v>18</v>
      </c>
      <c r="H4" s="76" cm="1">
        <f t="array" ref="H4">SUMPRODUCT((result_20260622!$A$2:$A$200=sum_fail_20260622!$F4)*result_20260622!$I$2:$J$200)</f>
        <v>18</v>
      </c>
      <c r="I4" cm="1">
        <f t="array" ref="I4">SUMPRODUCT((result_20260622!$A$2:$A$200=sum_fail_20260622!$F4)*result_20260622!$K$2:$K$200)</f>
        <v>0</v>
      </c>
      <c r="J4" cm="1">
        <f t="array" ref="J4">SUMPRODUCT((result_20260622!$A$2:$A$200=sum_fail_20260622!$F4)*result_20260622!$L$2:$M$200)</f>
        <v>0</v>
      </c>
      <c r="K4" cm="1">
        <f t="array" ref="K4">SUMPRODUCT((result_20260622!$A$2:$A$200=sum_fail_20260622!$F4)*result_20260622!$N$2:$N$200)</f>
        <v>0</v>
      </c>
      <c r="L4" s="77" cm="1">
        <f t="array" ref="L4">SUMPRODUCT((result_20260622!$A$2:$A$200=sum_fail_20260622!$F4)*result_20260622!$O$2:$R$200)</f>
        <v>0</v>
      </c>
      <c r="M4" s="81">
        <f t="shared" si="2"/>
        <v>1</v>
      </c>
      <c r="N4" s="65">
        <f t="shared" si="1"/>
        <v>0</v>
      </c>
      <c r="O4" s="85">
        <f t="shared" si="1"/>
        <v>0</v>
      </c>
      <c r="P4" s="67">
        <f t="shared" si="1"/>
        <v>0</v>
      </c>
      <c r="Q4" s="68">
        <f t="shared" si="1"/>
        <v>0</v>
      </c>
      <c r="R4" t="s">
        <v>82</v>
      </c>
    </row>
    <row r="5" spans="1:18">
      <c r="A5" s="55" t="s">
        <v>23</v>
      </c>
      <c r="B5">
        <f>result_20260622!L164</f>
        <v>14</v>
      </c>
      <c r="C5" s="8">
        <f t="shared" si="0"/>
        <v>8.6419753086419748E-2</v>
      </c>
      <c r="F5">
        <v>4</v>
      </c>
      <c r="G5" cm="1">
        <f t="array" ref="G5">SUMPRODUCT((result_20260622!$A$2:$A$200=sum_fail_20260622!$F5)*result_20260622!$I$2:$R$200)</f>
        <v>18</v>
      </c>
      <c r="H5" s="76" cm="1">
        <f t="array" ref="H5">SUMPRODUCT((result_20260622!$A$2:$A$200=sum_fail_20260622!$F5)*result_20260622!$I$2:$J$200)</f>
        <v>14</v>
      </c>
      <c r="I5" cm="1">
        <f t="array" ref="I5">SUMPRODUCT((result_20260622!$A$2:$A$200=sum_fail_20260622!$F5)*result_20260622!$K$2:$K$200)</f>
        <v>0</v>
      </c>
      <c r="J5" cm="1">
        <f t="array" ref="J5">SUMPRODUCT((result_20260622!$A$2:$A$200=sum_fail_20260622!$F5)*result_20260622!$L$2:$M$200)</f>
        <v>0</v>
      </c>
      <c r="K5" cm="1">
        <f t="array" ref="K5">SUMPRODUCT((result_20260622!$A$2:$A$200=sum_fail_20260622!$F5)*result_20260622!$N$2:$N$200)</f>
        <v>0</v>
      </c>
      <c r="L5" s="77" cm="1">
        <f t="array" ref="L5">SUMPRODUCT((result_20260622!$A$2:$A$200=sum_fail_20260622!$F5)*result_20260622!$O$2:$R$200)</f>
        <v>4</v>
      </c>
      <c r="M5" s="81">
        <f t="shared" si="2"/>
        <v>0.77777777777777779</v>
      </c>
      <c r="N5" s="65">
        <f t="shared" si="1"/>
        <v>0</v>
      </c>
      <c r="O5" s="66">
        <f t="shared" si="1"/>
        <v>0</v>
      </c>
      <c r="P5" s="67">
        <f t="shared" si="1"/>
        <v>0</v>
      </c>
      <c r="Q5" s="86">
        <f t="shared" si="1"/>
        <v>0.22222222222222221</v>
      </c>
      <c r="R5" t="s">
        <v>82</v>
      </c>
    </row>
    <row r="6" spans="1:18">
      <c r="A6" s="55" t="s">
        <v>71</v>
      </c>
      <c r="B6">
        <f>result_20260622!M164</f>
        <v>0</v>
      </c>
      <c r="C6" s="8">
        <f t="shared" si="0"/>
        <v>0</v>
      </c>
      <c r="F6">
        <v>5</v>
      </c>
      <c r="G6" cm="1">
        <f t="array" ref="G6">SUMPRODUCT((result_20260622!$A$2:$A$200=sum_fail_20260622!$F6)*result_20260622!$I$2:$R$200)</f>
        <v>17</v>
      </c>
      <c r="H6" s="76" cm="1">
        <f t="array" ref="H6">SUMPRODUCT((result_20260622!$A$2:$A$200=sum_fail_20260622!$F6)*result_20260622!$I$2:$J$200)</f>
        <v>14</v>
      </c>
      <c r="I6" cm="1">
        <f t="array" ref="I6">SUMPRODUCT((result_20260622!$A$2:$A$200=sum_fail_20260622!$F6)*result_20260622!$K$2:$K$200)</f>
        <v>0</v>
      </c>
      <c r="J6" cm="1">
        <f t="array" ref="J6">SUMPRODUCT((result_20260622!$A$2:$A$200=sum_fail_20260622!$F6)*result_20260622!$L$2:$M$200)</f>
        <v>0</v>
      </c>
      <c r="K6" cm="1">
        <f t="array" ref="K6">SUMPRODUCT((result_20260622!$A$2:$A$200=sum_fail_20260622!$F6)*result_20260622!$N$2:$N$200)</f>
        <v>2</v>
      </c>
      <c r="L6" s="77" cm="1">
        <f t="array" ref="L6">SUMPRODUCT((result_20260622!$A$2:$A$200=sum_fail_20260622!$F6)*result_20260622!$O$2:$R$200)</f>
        <v>1</v>
      </c>
      <c r="M6" s="81">
        <f t="shared" si="2"/>
        <v>0.82352941176470584</v>
      </c>
      <c r="N6" s="65">
        <f t="shared" si="1"/>
        <v>0</v>
      </c>
      <c r="O6" s="66">
        <f t="shared" si="1"/>
        <v>0</v>
      </c>
      <c r="P6" s="67">
        <f t="shared" si="1"/>
        <v>0.11764705882352941</v>
      </c>
      <c r="Q6" s="86">
        <f t="shared" si="1"/>
        <v>5.8823529411764705E-2</v>
      </c>
      <c r="R6" t="s">
        <v>82</v>
      </c>
    </row>
    <row r="7" spans="1:18">
      <c r="A7" s="56" t="s">
        <v>18</v>
      </c>
      <c r="B7">
        <f>result_20260622!N164</f>
        <v>11</v>
      </c>
      <c r="C7" s="8">
        <f t="shared" si="0"/>
        <v>6.7901234567901231E-2</v>
      </c>
      <c r="F7">
        <v>6</v>
      </c>
      <c r="G7" cm="1">
        <f t="array" ref="G7">SUMPRODUCT((result_20260622!$A$2:$A$200=sum_fail_20260622!$F7)*result_20260622!$I$2:$R$200)</f>
        <v>18</v>
      </c>
      <c r="H7" s="76" cm="1">
        <f t="array" ref="H7">SUMPRODUCT((result_20260622!$A$2:$A$200=sum_fail_20260622!$F7)*result_20260622!$I$2:$J$200)</f>
        <v>13</v>
      </c>
      <c r="I7" cm="1">
        <f t="array" ref="I7">SUMPRODUCT((result_20260622!$A$2:$A$200=sum_fail_20260622!$F7)*result_20260622!$K$2:$K$200)</f>
        <v>0</v>
      </c>
      <c r="J7" cm="1">
        <f t="array" ref="J7">SUMPRODUCT((result_20260622!$A$2:$A$200=sum_fail_20260622!$F7)*result_20260622!$L$2:$M$200)</f>
        <v>0</v>
      </c>
      <c r="K7" cm="1">
        <f t="array" ref="K7">SUMPRODUCT((result_20260622!$A$2:$A$200=sum_fail_20260622!$F7)*result_20260622!$N$2:$N$200)</f>
        <v>1</v>
      </c>
      <c r="L7" s="77" cm="1">
        <f t="array" ref="L7">SUMPRODUCT((result_20260622!$A$2:$A$200=sum_fail_20260622!$F7)*result_20260622!$O$2:$R$200)</f>
        <v>4</v>
      </c>
      <c r="M7" s="81">
        <f t="shared" si="2"/>
        <v>0.72222222222222221</v>
      </c>
      <c r="N7" s="65">
        <f t="shared" si="1"/>
        <v>0</v>
      </c>
      <c r="O7" s="66">
        <f t="shared" si="1"/>
        <v>0</v>
      </c>
      <c r="P7" s="67">
        <f t="shared" si="1"/>
        <v>5.5555555555555552E-2</v>
      </c>
      <c r="Q7" s="86">
        <f t="shared" si="1"/>
        <v>0.22222222222222221</v>
      </c>
      <c r="R7" t="s">
        <v>82</v>
      </c>
    </row>
    <row r="8" spans="1:18">
      <c r="A8" s="26" t="s">
        <v>69</v>
      </c>
      <c r="B8">
        <f>result_20260622!O164</f>
        <v>1</v>
      </c>
      <c r="C8" s="8">
        <f t="shared" si="0"/>
        <v>6.1728395061728392E-3</v>
      </c>
      <c r="F8">
        <v>7</v>
      </c>
      <c r="G8" cm="1">
        <f t="array" ref="G8">SUMPRODUCT((result_20260622!$A$2:$A$200=sum_fail_20260622!$F8)*result_20260622!$I$2:$R$200)</f>
        <v>18</v>
      </c>
      <c r="H8" s="76" cm="1">
        <f t="array" ref="H8">SUMPRODUCT((result_20260622!$A$2:$A$200=sum_fail_20260622!$F8)*result_20260622!$I$2:$J$200)</f>
        <v>5</v>
      </c>
      <c r="I8" cm="1">
        <f t="array" ref="I8">SUMPRODUCT((result_20260622!$A$2:$A$200=sum_fail_20260622!$F8)*result_20260622!$K$2:$K$200)</f>
        <v>0</v>
      </c>
      <c r="J8" cm="1">
        <f t="array" ref="J8">SUMPRODUCT((result_20260622!$A$2:$A$200=sum_fail_20260622!$F8)*result_20260622!$L$2:$M$200)</f>
        <v>11</v>
      </c>
      <c r="K8" cm="1">
        <f t="array" ref="K8">SUMPRODUCT((result_20260622!$A$2:$A$200=sum_fail_20260622!$F8)*result_20260622!$N$2:$N$200)</f>
        <v>2</v>
      </c>
      <c r="L8" s="77" cm="1">
        <f t="array" ref="L8">SUMPRODUCT((result_20260622!$A$2:$A$200=sum_fail_20260622!$F8)*result_20260622!$O$2:$R$200)</f>
        <v>0</v>
      </c>
      <c r="M8" s="64">
        <f t="shared" si="2"/>
        <v>0.27777777777777779</v>
      </c>
      <c r="N8" s="65">
        <f t="shared" si="1"/>
        <v>0</v>
      </c>
      <c r="O8" s="82">
        <f t="shared" si="1"/>
        <v>0.61111111111111116</v>
      </c>
      <c r="P8" s="67">
        <f t="shared" si="1"/>
        <v>0.1111111111111111</v>
      </c>
      <c r="Q8" s="68">
        <f t="shared" si="1"/>
        <v>0</v>
      </c>
      <c r="R8" t="s">
        <v>84</v>
      </c>
    </row>
    <row r="9" spans="1:18">
      <c r="A9" s="26" t="s">
        <v>96</v>
      </c>
      <c r="B9">
        <f>result_20260622!P164</f>
        <v>8</v>
      </c>
      <c r="C9" s="8">
        <f t="shared" si="0"/>
        <v>4.9382716049382713E-2</v>
      </c>
      <c r="F9">
        <v>8</v>
      </c>
      <c r="G9" cm="1">
        <f t="array" ref="G9">SUMPRODUCT((result_20260622!$A$2:$A$200=sum_fail_20260622!$F9)*result_20260622!$I$2:$R$200)</f>
        <v>18</v>
      </c>
      <c r="H9" s="76" cm="1">
        <f t="array" ref="H9">SUMPRODUCT((result_20260622!$A$2:$A$200=sum_fail_20260622!$F9)*result_20260622!$I$2:$J$200)</f>
        <v>14</v>
      </c>
      <c r="I9" cm="1">
        <f t="array" ref="I9">SUMPRODUCT((result_20260622!$A$2:$A$200=sum_fail_20260622!$F9)*result_20260622!$K$2:$K$200)</f>
        <v>0</v>
      </c>
      <c r="J9" cm="1">
        <f t="array" ref="J9">SUMPRODUCT((result_20260622!$A$2:$A$200=sum_fail_20260622!$F9)*result_20260622!$L$2:$M$200)</f>
        <v>3</v>
      </c>
      <c r="K9" cm="1">
        <f t="array" ref="K9">SUMPRODUCT((result_20260622!$A$2:$A$200=sum_fail_20260622!$F9)*result_20260622!$N$2:$N$200)</f>
        <v>0</v>
      </c>
      <c r="L9" s="77" cm="1">
        <f t="array" ref="L9">SUMPRODUCT((result_20260622!$A$2:$A$200=sum_fail_20260622!$F9)*result_20260622!$O$2:$R$200)</f>
        <v>1</v>
      </c>
      <c r="M9" s="88">
        <f t="shared" si="2"/>
        <v>0.77777777777777779</v>
      </c>
      <c r="N9" s="70">
        <f t="shared" si="1"/>
        <v>0</v>
      </c>
      <c r="O9" s="71">
        <f t="shared" si="1"/>
        <v>0.16666666666666666</v>
      </c>
      <c r="P9" s="72">
        <f t="shared" si="1"/>
        <v>0</v>
      </c>
      <c r="Q9" s="87">
        <f t="shared" si="1"/>
        <v>5.5555555555555552E-2</v>
      </c>
      <c r="R9" t="s">
        <v>82</v>
      </c>
    </row>
    <row r="10" spans="1:18">
      <c r="A10" s="26" t="s">
        <v>99</v>
      </c>
      <c r="B10">
        <f>result_20260622!Q164</f>
        <v>7</v>
      </c>
      <c r="C10" s="8">
        <f t="shared" si="0"/>
        <v>4.3209876543209874E-2</v>
      </c>
      <c r="G10">
        <f t="shared" ref="G10:L10" si="3">SUM(G2:G9)</f>
        <v>158</v>
      </c>
      <c r="H10">
        <f t="shared" si="3"/>
        <v>115</v>
      </c>
      <c r="I10">
        <f t="shared" si="3"/>
        <v>0</v>
      </c>
      <c r="J10">
        <f t="shared" si="3"/>
        <v>14</v>
      </c>
      <c r="K10">
        <f t="shared" si="3"/>
        <v>11</v>
      </c>
      <c r="L10">
        <f t="shared" si="3"/>
        <v>18</v>
      </c>
    </row>
    <row r="11" spans="1:18">
      <c r="A11" s="26" t="s">
        <v>70</v>
      </c>
      <c r="B11">
        <f>result_20260611!R164</f>
        <v>0</v>
      </c>
      <c r="C11" s="8">
        <f t="shared" si="0"/>
        <v>0</v>
      </c>
    </row>
    <row r="15" spans="1:18">
      <c r="A15" t="s">
        <v>0</v>
      </c>
      <c r="B15">
        <f>result_20260622!E164</f>
        <v>0</v>
      </c>
    </row>
    <row r="16" spans="1:18">
      <c r="A16" t="s">
        <v>16</v>
      </c>
      <c r="B16">
        <f>result_20260622!F164</f>
        <v>22</v>
      </c>
    </row>
    <row r="17" spans="1:19">
      <c r="A17" t="s">
        <v>21</v>
      </c>
      <c r="B17">
        <f>result_20260622!G164</f>
        <v>10</v>
      </c>
    </row>
    <row r="18" spans="1:19">
      <c r="A18" t="s">
        <v>17</v>
      </c>
      <c r="B18">
        <f>result_20260622!H164</f>
        <v>130</v>
      </c>
      <c r="F18" s="8"/>
      <c r="G18" s="8"/>
      <c r="H18" s="8"/>
      <c r="I18" s="8"/>
      <c r="J18" s="8"/>
      <c r="K18" s="8"/>
      <c r="L18" s="8"/>
      <c r="R18" s="8"/>
      <c r="S18" s="8"/>
    </row>
    <row r="19" spans="1:19" s="8" customFormat="1">
      <c r="A19" t="s">
        <v>32</v>
      </c>
      <c r="B19">
        <f>SUM(result_20260611!E164:H164)</f>
        <v>162</v>
      </c>
    </row>
    <row r="20" spans="1:19" s="8" customFormat="1">
      <c r="A20" t="s">
        <v>38</v>
      </c>
      <c r="B20">
        <f>SUM(result_20260622!G164:H164)</f>
        <v>140</v>
      </c>
      <c r="F20"/>
      <c r="G20"/>
      <c r="H20"/>
      <c r="I20"/>
      <c r="J20"/>
      <c r="K20"/>
      <c r="L20"/>
      <c r="R20"/>
      <c r="S20"/>
    </row>
    <row r="21" spans="1:19">
      <c r="A21" t="s">
        <v>81</v>
      </c>
      <c r="B21">
        <f>B16+B17+B18</f>
        <v>162</v>
      </c>
    </row>
    <row r="22" spans="1:19">
      <c r="C22" s="8" t="s">
        <v>93</v>
      </c>
      <c r="D22" t="s">
        <v>94</v>
      </c>
    </row>
    <row r="23" spans="1:19">
      <c r="A23" s="53" t="s">
        <v>76</v>
      </c>
      <c r="B23">
        <f>result_20260622!I164+result_20260622!J164</f>
        <v>115</v>
      </c>
      <c r="C23" s="8">
        <f>B23/$B$21</f>
        <v>0.70987654320987659</v>
      </c>
      <c r="D23" s="8">
        <f>B23/$B$20</f>
        <v>0.8214285714285714</v>
      </c>
    </row>
    <row r="24" spans="1:19">
      <c r="A24" s="54" t="s">
        <v>77</v>
      </c>
      <c r="B24">
        <f>result_20260622!K164</f>
        <v>0</v>
      </c>
      <c r="C24" s="8">
        <f>B24/$B$21</f>
        <v>0</v>
      </c>
      <c r="D24" s="8">
        <f t="shared" ref="D24:D26" si="4">B24/$B$20</f>
        <v>0</v>
      </c>
    </row>
    <row r="25" spans="1:19">
      <c r="A25" s="55" t="s">
        <v>78</v>
      </c>
      <c r="B25">
        <f>result_20260622!L164+result_20260622!M164</f>
        <v>14</v>
      </c>
      <c r="C25" s="8">
        <f>B25/$B$21</f>
        <v>8.6419753086419748E-2</v>
      </c>
      <c r="D25" s="8">
        <f t="shared" si="4"/>
        <v>0.1</v>
      </c>
    </row>
    <row r="26" spans="1:19">
      <c r="A26" s="56" t="s">
        <v>79</v>
      </c>
      <c r="B26">
        <f>result_20260622!N164</f>
        <v>11</v>
      </c>
      <c r="C26" s="8">
        <f>B26/$B$21</f>
        <v>6.7901234567901231E-2</v>
      </c>
      <c r="D26" s="8">
        <f t="shared" si="4"/>
        <v>7.857142857142857E-2</v>
      </c>
    </row>
    <row r="27" spans="1:19">
      <c r="A27" s="26" t="s">
        <v>80</v>
      </c>
      <c r="B27">
        <f>result_20260622!O164+result_20260622!P164+result_20260622!Q164+result_20260622!R164</f>
        <v>18</v>
      </c>
      <c r="C27" s="8">
        <f>B27/$B$21</f>
        <v>0.1111111111111111</v>
      </c>
      <c r="D27" s="8"/>
    </row>
  </sheetData>
  <phoneticPr fontId="1" type="noConversion"/>
  <conditionalFormatting sqref="C2:C11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{E0DDF9F6-A487-4B2A-B4F1-4399C9679DBA}</x14:id>
        </ext>
      </extLst>
    </cfRule>
  </conditionalFormatting>
  <conditionalFormatting sqref="C23:C27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{71B2B7DC-FBE7-4002-B693-7442E8E56597}</x14:id>
        </ext>
      </extLst>
    </cfRule>
  </conditionalFormatting>
  <conditionalFormatting sqref="D23:D2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{933E588D-FE36-47F0-9188-4B64BD285E58}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0DDF9F6-A487-4B2A-B4F1-4399C9679DB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C2:C11</xm:sqref>
        </x14:conditionalFormatting>
        <x14:conditionalFormatting xmlns:xm="http://schemas.microsoft.com/office/excel/2006/main">
          <x14:cfRule type="dataBar" id="{71B2B7DC-FBE7-4002-B693-7442E8E5659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C23:C27</xm:sqref>
        </x14:conditionalFormatting>
        <x14:conditionalFormatting xmlns:xm="http://schemas.microsoft.com/office/excel/2006/main">
          <x14:cfRule type="dataBar" id="{933E588D-FE36-47F0-9188-4B64BD285E58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D23:D26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6AD1C-F23B-457C-BC16-0C31B8A7B64D}">
  <sheetPr>
    <tabColor theme="7" tint="-0.249977111117893"/>
  </sheetPr>
  <dimension ref="B3:O32"/>
  <sheetViews>
    <sheetView showGridLines="0" topLeftCell="A9" zoomScaleNormal="100" workbookViewId="0">
      <selection activeCell="B13" sqref="B13"/>
    </sheetView>
  </sheetViews>
  <sheetFormatPr defaultColWidth="15.625" defaultRowHeight="30" customHeight="1"/>
  <sheetData>
    <row r="3" spans="2:15" ht="30" customHeight="1" thickBot="1">
      <c r="B3" s="26" t="s">
        <v>42</v>
      </c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</row>
    <row r="4" spans="2:15" ht="30" customHeight="1">
      <c r="B4" s="26"/>
      <c r="C4" s="27" t="s">
        <v>6</v>
      </c>
      <c r="D4" s="28" t="s">
        <v>9</v>
      </c>
      <c r="E4" s="29" t="s">
        <v>12</v>
      </c>
      <c r="F4" s="26"/>
      <c r="G4" s="30">
        <v>1</v>
      </c>
      <c r="H4" s="31">
        <v>2</v>
      </c>
      <c r="I4" s="31">
        <v>3</v>
      </c>
      <c r="J4" s="31">
        <v>4</v>
      </c>
      <c r="K4" s="31">
        <v>5</v>
      </c>
      <c r="L4" s="31">
        <v>6</v>
      </c>
      <c r="M4" s="31">
        <v>7</v>
      </c>
      <c r="N4" s="32">
        <v>8</v>
      </c>
      <c r="O4" s="26"/>
    </row>
    <row r="5" spans="2:15" ht="30" customHeight="1">
      <c r="B5" s="26"/>
      <c r="C5" s="33"/>
      <c r="D5" s="34"/>
      <c r="E5" s="35"/>
      <c r="F5" s="26"/>
      <c r="G5" s="36"/>
      <c r="H5" s="26"/>
      <c r="I5" s="26"/>
      <c r="J5" s="26"/>
      <c r="K5" s="26"/>
      <c r="L5" s="26"/>
      <c r="M5" s="26"/>
      <c r="N5" s="37"/>
      <c r="O5" s="26"/>
    </row>
    <row r="6" spans="2:15" ht="30" customHeight="1" thickBot="1">
      <c r="B6" s="26"/>
      <c r="C6" s="38" t="s">
        <v>7</v>
      </c>
      <c r="D6" s="39" t="s">
        <v>10</v>
      </c>
      <c r="E6" s="40" t="s">
        <v>13</v>
      </c>
      <c r="F6" s="26"/>
      <c r="G6" s="41" t="s">
        <v>24</v>
      </c>
      <c r="H6" s="42" t="s">
        <v>25</v>
      </c>
      <c r="I6" s="42" t="s">
        <v>26</v>
      </c>
      <c r="J6" s="42" t="s">
        <v>27</v>
      </c>
      <c r="K6" s="42" t="s">
        <v>28</v>
      </c>
      <c r="L6" s="42" t="s">
        <v>29</v>
      </c>
      <c r="M6" s="42" t="s">
        <v>30</v>
      </c>
      <c r="N6" s="43" t="s">
        <v>31</v>
      </c>
      <c r="O6" s="26"/>
    </row>
    <row r="7" spans="2:15" ht="30" customHeight="1">
      <c r="B7" s="26"/>
      <c r="C7" s="33"/>
      <c r="D7" s="34"/>
      <c r="E7" s="35"/>
      <c r="F7" s="26"/>
      <c r="G7" s="26"/>
      <c r="H7" s="26"/>
      <c r="I7" s="26"/>
      <c r="J7" s="26"/>
      <c r="K7" s="26"/>
      <c r="L7" s="26"/>
      <c r="M7" s="26"/>
      <c r="N7" s="26"/>
      <c r="O7" s="26"/>
    </row>
    <row r="8" spans="2:15" ht="30" customHeight="1">
      <c r="B8" s="26"/>
      <c r="C8" s="38" t="s">
        <v>8</v>
      </c>
      <c r="D8" s="39" t="s">
        <v>11</v>
      </c>
      <c r="E8" s="40" t="s">
        <v>14</v>
      </c>
      <c r="F8" s="26"/>
      <c r="G8" s="26"/>
      <c r="H8" s="26"/>
      <c r="I8" s="26"/>
      <c r="J8" s="26"/>
      <c r="K8" s="26"/>
      <c r="L8" s="26"/>
      <c r="M8" s="26"/>
      <c r="N8" s="26"/>
      <c r="O8" s="26"/>
    </row>
    <row r="9" spans="2:15" ht="30" customHeight="1" thickBot="1">
      <c r="B9" s="26"/>
      <c r="C9" s="44"/>
      <c r="D9" s="45"/>
      <c r="E9" s="46"/>
      <c r="F9" s="26"/>
      <c r="G9" s="26"/>
      <c r="H9" s="26"/>
      <c r="I9" s="26"/>
      <c r="J9" s="26"/>
      <c r="K9" s="26"/>
      <c r="L9" s="26"/>
      <c r="M9" s="26"/>
      <c r="N9" s="26"/>
      <c r="O9" s="26"/>
    </row>
    <row r="10" spans="2:15" ht="30" customHeight="1"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</row>
    <row r="11" spans="2:15" s="47" customFormat="1" ht="14.25"/>
    <row r="12" spans="2:15" ht="60" customHeight="1">
      <c r="B12" s="50" t="s">
        <v>64</v>
      </c>
      <c r="C12" s="48" t="s">
        <v>49</v>
      </c>
      <c r="D12" s="48" t="s">
        <v>44</v>
      </c>
      <c r="E12" s="48" t="s">
        <v>46</v>
      </c>
      <c r="F12" s="48" t="s">
        <v>47</v>
      </c>
      <c r="G12" s="48" t="s">
        <v>50</v>
      </c>
      <c r="H12" s="48" t="s">
        <v>51</v>
      </c>
      <c r="I12" s="48" t="s">
        <v>67</v>
      </c>
      <c r="J12" s="48" t="s">
        <v>52</v>
      </c>
      <c r="K12" s="48" t="s">
        <v>53</v>
      </c>
      <c r="L12" s="48" t="s">
        <v>54</v>
      </c>
    </row>
    <row r="13" spans="2:15" ht="30" customHeight="1">
      <c r="B13" t="s">
        <v>104</v>
      </c>
      <c r="C13" s="49" t="s">
        <v>43</v>
      </c>
      <c r="D13" s="49" t="s">
        <v>45</v>
      </c>
      <c r="E13" s="49" t="s">
        <v>65</v>
      </c>
      <c r="F13" s="49" t="s">
        <v>48</v>
      </c>
      <c r="G13" s="49">
        <v>0.2</v>
      </c>
      <c r="H13" s="49">
        <v>2E-3</v>
      </c>
      <c r="I13" s="49">
        <v>3.5000000000000003E-2</v>
      </c>
      <c r="J13" s="49">
        <v>0.02</v>
      </c>
      <c r="K13" s="49">
        <v>0.5</v>
      </c>
      <c r="L13" s="51" t="s">
        <v>66</v>
      </c>
    </row>
    <row r="14" spans="2:15" ht="30" customHeight="1">
      <c r="C14" s="52" t="s">
        <v>55</v>
      </c>
      <c r="D14" s="52" t="s">
        <v>56</v>
      </c>
      <c r="E14" s="52" t="s">
        <v>57</v>
      </c>
      <c r="F14" s="52" t="s">
        <v>58</v>
      </c>
      <c r="G14" s="52" t="s">
        <v>59</v>
      </c>
      <c r="H14" s="52" t="s">
        <v>60</v>
      </c>
      <c r="I14" s="52" t="s">
        <v>61</v>
      </c>
    </row>
    <row r="15" spans="2:15" ht="30" customHeight="1">
      <c r="C15" s="51">
        <v>1.447416</v>
      </c>
      <c r="D15" s="51">
        <v>3.302368</v>
      </c>
      <c r="E15" s="51">
        <v>1.3658980000000001</v>
      </c>
      <c r="F15" s="51">
        <v>-9.5960000000000004E-3</v>
      </c>
      <c r="G15" s="51">
        <v>0.99959399999999998</v>
      </c>
      <c r="H15" s="51">
        <v>2.5939E-2</v>
      </c>
      <c r="I15" s="51">
        <v>-6.796E-3</v>
      </c>
    </row>
    <row r="17" spans="3:14" ht="30" customHeight="1" thickBot="1"/>
    <row r="18" spans="3:14" ht="30" customHeight="1" thickBot="1">
      <c r="D18" s="1" t="s">
        <v>36</v>
      </c>
      <c r="G18" s="5">
        <v>1</v>
      </c>
      <c r="H18" s="6">
        <v>2</v>
      </c>
      <c r="I18" s="6">
        <v>3</v>
      </c>
      <c r="J18" s="6">
        <v>4</v>
      </c>
      <c r="K18" s="6">
        <v>5</v>
      </c>
      <c r="L18" s="6">
        <v>6</v>
      </c>
      <c r="M18" s="6">
        <v>7</v>
      </c>
      <c r="N18" s="7">
        <v>8</v>
      </c>
    </row>
    <row r="19" spans="3:14" ht="30" customHeight="1" thickBot="1">
      <c r="G19" s="22">
        <f>[1]sum_orient_20260605!P2</f>
        <v>0.59259259259259256</v>
      </c>
      <c r="H19" s="9">
        <f>[1]sum_orient_20260605!P3</f>
        <v>7.407407407407407E-2</v>
      </c>
      <c r="I19" s="9">
        <f>[1]sum_orient_20260605!P4</f>
        <v>0</v>
      </c>
      <c r="J19" s="9">
        <f>[1]sum_orient_20260605!P5</f>
        <v>0.88888888888888884</v>
      </c>
      <c r="K19" s="9">
        <f>[1]sum_orient_20260605!P6</f>
        <v>0.3888888888888889</v>
      </c>
      <c r="L19" s="9">
        <f>[1]sum_orient_20260605!P7</f>
        <v>0.3888888888888889</v>
      </c>
      <c r="M19" s="9">
        <f>[1]sum_orient_20260605!P8</f>
        <v>0.22222222222222221</v>
      </c>
      <c r="N19" s="23">
        <f>[1]sum_orient_20260605!P9</f>
        <v>0.72222222222222221</v>
      </c>
    </row>
    <row r="20" spans="3:14" ht="30" customHeight="1" thickBot="1">
      <c r="C20" s="12" t="s">
        <v>6</v>
      </c>
      <c r="D20" s="13" t="s">
        <v>9</v>
      </c>
      <c r="E20" s="14" t="s">
        <v>12</v>
      </c>
      <c r="G20" s="2" t="s">
        <v>24</v>
      </c>
      <c r="H20" s="3" t="s">
        <v>25</v>
      </c>
      <c r="I20" s="3" t="s">
        <v>26</v>
      </c>
      <c r="J20" s="3" t="s">
        <v>27</v>
      </c>
      <c r="K20" s="3" t="s">
        <v>28</v>
      </c>
      <c r="L20" s="3" t="s">
        <v>29</v>
      </c>
      <c r="M20" s="3" t="s">
        <v>30</v>
      </c>
      <c r="N20" s="4" t="s">
        <v>31</v>
      </c>
    </row>
    <row r="21" spans="3:14" ht="30" customHeight="1">
      <c r="C21" s="15">
        <f>[1]sum_pos_20260605!P2</f>
        <v>0.45833333333333331</v>
      </c>
      <c r="D21" s="11">
        <f>[1]sum_pos_20260605!P5</f>
        <v>0.375</v>
      </c>
      <c r="E21" s="16">
        <f>[1]sum_pos_20260605!P8</f>
        <v>0.33333333333333331</v>
      </c>
    </row>
    <row r="22" spans="3:14" ht="15" customHeight="1">
      <c r="C22" s="17" t="s">
        <v>7</v>
      </c>
      <c r="D22" s="10" t="s">
        <v>10</v>
      </c>
      <c r="E22" s="18" t="s">
        <v>13</v>
      </c>
    </row>
    <row r="23" spans="3:14" ht="15" customHeight="1">
      <c r="C23" s="15">
        <f>[1]sum_pos_20260605!P3</f>
        <v>0.5</v>
      </c>
      <c r="D23" s="11">
        <f>[1]sum_pos_20260605!P6</f>
        <v>0.5</v>
      </c>
      <c r="E23" s="16">
        <f>[1]sum_pos_20260605!P9</f>
        <v>0.16666666666666666</v>
      </c>
    </row>
    <row r="24" spans="3:14" ht="30" customHeight="1">
      <c r="C24" s="17" t="s">
        <v>8</v>
      </c>
      <c r="D24" s="10" t="s">
        <v>11</v>
      </c>
      <c r="E24" s="18" t="s">
        <v>14</v>
      </c>
    </row>
    <row r="25" spans="3:14" ht="30" customHeight="1" thickBot="1">
      <c r="C25" s="19">
        <f>[1]sum_pos_20260605!P4</f>
        <v>0.33333333333333331</v>
      </c>
      <c r="D25" s="20">
        <f>[1]sum_pos_20260605!P7</f>
        <v>0.5</v>
      </c>
      <c r="E25" s="21">
        <f>[1]sum_pos_20260605!P10</f>
        <v>0.41666666666666669</v>
      </c>
    </row>
    <row r="32" spans="3:14" s="47" customFormat="1" ht="10.5" customHeight="1"/>
  </sheetData>
  <phoneticPr fontId="1" type="noConversion"/>
  <conditionalFormatting sqref="C4:E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0:E25">
    <cfRule type="colorScale" priority="3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G19:N19">
    <cfRule type="colorScale" priority="2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63E77-EE44-42B3-ACD0-800B48D3E7DF}">
  <sheetPr filterMode="1">
    <tabColor theme="7" tint="-0.249977111117893"/>
  </sheetPr>
  <dimension ref="A1:Q164"/>
  <sheetViews>
    <sheetView workbookViewId="0">
      <pane xSplit="4" ySplit="1" topLeftCell="E96" activePane="bottomRight" state="frozen"/>
      <selection activeCell="O33" sqref="O33"/>
      <selection pane="topRight" activeCell="O33" sqref="O33"/>
      <selection pane="bottomLeft" activeCell="O33" sqref="O33"/>
      <selection pane="bottomRight" activeCell="J132" sqref="J132"/>
    </sheetView>
  </sheetViews>
  <sheetFormatPr defaultRowHeight="14.25"/>
  <cols>
    <col min="9" max="9" width="17.25" style="57" customWidth="1"/>
    <col min="10" max="10" width="15.375" style="57" customWidth="1"/>
    <col min="11" max="11" width="17.5" style="57" customWidth="1"/>
    <col min="12" max="12" width="17.25" style="54" customWidth="1"/>
    <col min="13" max="13" width="14" style="54" customWidth="1"/>
    <col min="14" max="14" width="19.125" style="58" customWidth="1"/>
    <col min="15" max="15" width="14.625" style="56" customWidth="1"/>
    <col min="16" max="16" width="13.625" style="26" customWidth="1"/>
    <col min="17" max="17" width="18.125" style="26" customWidth="1"/>
  </cols>
  <sheetData>
    <row r="1" spans="1:17">
      <c r="A1" t="s">
        <v>4</v>
      </c>
      <c r="B1" t="s">
        <v>3</v>
      </c>
      <c r="C1" t="s">
        <v>5</v>
      </c>
      <c r="D1" t="s">
        <v>15</v>
      </c>
      <c r="E1" t="s">
        <v>0</v>
      </c>
      <c r="F1" t="s">
        <v>16</v>
      </c>
      <c r="G1" t="s">
        <v>21</v>
      </c>
      <c r="H1" t="s">
        <v>17</v>
      </c>
      <c r="I1" s="57" t="s">
        <v>62</v>
      </c>
      <c r="J1" s="57" t="s">
        <v>19</v>
      </c>
      <c r="K1" s="57" t="s">
        <v>2</v>
      </c>
      <c r="L1" s="54" t="s">
        <v>1</v>
      </c>
      <c r="M1" s="54" t="s">
        <v>20</v>
      </c>
      <c r="N1" s="58" t="s">
        <v>23</v>
      </c>
      <c r="O1" s="56" t="s">
        <v>18</v>
      </c>
      <c r="P1" s="26" t="s">
        <v>69</v>
      </c>
      <c r="Q1" s="26" t="s">
        <v>70</v>
      </c>
    </row>
    <row r="2" spans="1:17">
      <c r="A2">
        <v>1</v>
      </c>
      <c r="B2" t="s">
        <v>6</v>
      </c>
      <c r="C2">
        <v>1</v>
      </c>
      <c r="D2" t="str">
        <f t="shared" ref="D2:D65" si="0">A2&amp;"-"&amp;B2&amp;"-"&amp;C2</f>
        <v>1-A-1</v>
      </c>
      <c r="H2">
        <v>1</v>
      </c>
      <c r="I2" s="57">
        <v>1</v>
      </c>
    </row>
    <row r="3" spans="1:17" hidden="1">
      <c r="A3">
        <v>1</v>
      </c>
      <c r="B3" t="s">
        <v>6</v>
      </c>
      <c r="C3">
        <v>2</v>
      </c>
      <c r="D3" t="str">
        <f t="shared" si="0"/>
        <v>1-A-2</v>
      </c>
      <c r="E3">
        <v>1</v>
      </c>
    </row>
    <row r="4" spans="1:17" hidden="1">
      <c r="A4">
        <v>1</v>
      </c>
      <c r="B4" t="s">
        <v>6</v>
      </c>
      <c r="C4">
        <v>3</v>
      </c>
      <c r="D4" t="str">
        <f t="shared" si="0"/>
        <v>1-A-3</v>
      </c>
      <c r="E4">
        <v>1</v>
      </c>
    </row>
    <row r="5" spans="1:17" hidden="1">
      <c r="A5">
        <v>1</v>
      </c>
      <c r="B5" t="s">
        <v>7</v>
      </c>
      <c r="C5">
        <v>1</v>
      </c>
      <c r="D5" t="str">
        <f t="shared" si="0"/>
        <v>1-B-1</v>
      </c>
      <c r="E5">
        <v>1</v>
      </c>
    </row>
    <row r="6" spans="1:17" hidden="1">
      <c r="A6">
        <v>1</v>
      </c>
      <c r="B6" t="s">
        <v>7</v>
      </c>
      <c r="C6">
        <v>2</v>
      </c>
      <c r="D6" t="str">
        <f t="shared" si="0"/>
        <v>1-B-2</v>
      </c>
      <c r="E6">
        <v>1</v>
      </c>
    </row>
    <row r="7" spans="1:17" hidden="1">
      <c r="A7">
        <v>1</v>
      </c>
      <c r="B7" t="s">
        <v>7</v>
      </c>
      <c r="C7">
        <v>3</v>
      </c>
      <c r="D7" t="str">
        <f t="shared" si="0"/>
        <v>1-B-3</v>
      </c>
      <c r="E7">
        <v>1</v>
      </c>
    </row>
    <row r="8" spans="1:17">
      <c r="A8">
        <v>1</v>
      </c>
      <c r="B8" t="s">
        <v>8</v>
      </c>
      <c r="C8">
        <v>1</v>
      </c>
      <c r="D8" t="str">
        <f t="shared" si="0"/>
        <v>1-C-1</v>
      </c>
      <c r="H8">
        <v>1</v>
      </c>
      <c r="I8" s="57">
        <v>1</v>
      </c>
    </row>
    <row r="9" spans="1:17">
      <c r="A9">
        <v>1</v>
      </c>
      <c r="B9" t="s">
        <v>8</v>
      </c>
      <c r="C9">
        <v>2</v>
      </c>
      <c r="D9" t="str">
        <f t="shared" si="0"/>
        <v>1-C-2</v>
      </c>
      <c r="H9">
        <v>1</v>
      </c>
      <c r="J9" s="57">
        <v>1</v>
      </c>
    </row>
    <row r="10" spans="1:17">
      <c r="A10">
        <v>1</v>
      </c>
      <c r="B10" t="s">
        <v>8</v>
      </c>
      <c r="C10">
        <v>3</v>
      </c>
      <c r="D10" t="str">
        <f t="shared" si="0"/>
        <v>1-C-3</v>
      </c>
      <c r="H10">
        <v>1</v>
      </c>
      <c r="J10" s="57">
        <v>1</v>
      </c>
    </row>
    <row r="11" spans="1:17" hidden="1">
      <c r="A11">
        <v>1</v>
      </c>
      <c r="B11" t="s">
        <v>9</v>
      </c>
      <c r="C11">
        <v>1</v>
      </c>
      <c r="D11" t="str">
        <f t="shared" si="0"/>
        <v>1-D-1</v>
      </c>
      <c r="E11">
        <v>1</v>
      </c>
    </row>
    <row r="12" spans="1:17" hidden="1">
      <c r="A12">
        <v>1</v>
      </c>
      <c r="B12" t="s">
        <v>9</v>
      </c>
      <c r="C12">
        <v>2</v>
      </c>
      <c r="D12" t="str">
        <f t="shared" si="0"/>
        <v>1-D-2</v>
      </c>
      <c r="E12">
        <v>1</v>
      </c>
    </row>
    <row r="13" spans="1:17" hidden="1">
      <c r="A13">
        <v>1</v>
      </c>
      <c r="B13" t="s">
        <v>9</v>
      </c>
      <c r="C13">
        <v>3</v>
      </c>
      <c r="D13" t="str">
        <f t="shared" si="0"/>
        <v>1-D-3</v>
      </c>
      <c r="E13">
        <v>1</v>
      </c>
    </row>
    <row r="14" spans="1:17" hidden="1">
      <c r="A14">
        <v>1</v>
      </c>
      <c r="B14" t="s">
        <v>10</v>
      </c>
      <c r="C14">
        <v>1</v>
      </c>
      <c r="D14" t="str">
        <f t="shared" si="0"/>
        <v>1-E-1</v>
      </c>
      <c r="E14">
        <v>1</v>
      </c>
    </row>
    <row r="15" spans="1:17" hidden="1">
      <c r="A15">
        <v>1</v>
      </c>
      <c r="B15" t="s">
        <v>10</v>
      </c>
      <c r="C15">
        <v>2</v>
      </c>
      <c r="D15" t="str">
        <f t="shared" si="0"/>
        <v>1-E-2</v>
      </c>
      <c r="E15">
        <v>1</v>
      </c>
    </row>
    <row r="16" spans="1:17" hidden="1">
      <c r="A16">
        <v>1</v>
      </c>
      <c r="B16" t="s">
        <v>10</v>
      </c>
      <c r="C16">
        <v>3</v>
      </c>
      <c r="D16" t="str">
        <f t="shared" si="0"/>
        <v>1-E-3</v>
      </c>
      <c r="E16">
        <v>1</v>
      </c>
    </row>
    <row r="17" spans="1:17">
      <c r="A17">
        <v>1</v>
      </c>
      <c r="B17" t="s">
        <v>11</v>
      </c>
      <c r="C17">
        <v>1</v>
      </c>
      <c r="D17" t="str">
        <f t="shared" si="0"/>
        <v>1-F-1</v>
      </c>
      <c r="H17">
        <v>1</v>
      </c>
      <c r="I17" s="57">
        <v>1</v>
      </c>
    </row>
    <row r="18" spans="1:17" hidden="1">
      <c r="A18">
        <v>1</v>
      </c>
      <c r="B18" t="s">
        <v>11</v>
      </c>
      <c r="C18">
        <v>2</v>
      </c>
      <c r="D18" t="str">
        <f t="shared" si="0"/>
        <v>1-F-2</v>
      </c>
      <c r="E18">
        <v>1</v>
      </c>
    </row>
    <row r="19" spans="1:17">
      <c r="A19">
        <v>1</v>
      </c>
      <c r="B19" t="s">
        <v>11</v>
      </c>
      <c r="C19">
        <v>3</v>
      </c>
      <c r="D19" t="str">
        <f t="shared" si="0"/>
        <v>1-F-3</v>
      </c>
      <c r="H19">
        <v>1</v>
      </c>
      <c r="I19" s="57">
        <v>1</v>
      </c>
    </row>
    <row r="20" spans="1:17" hidden="1">
      <c r="A20">
        <v>1</v>
      </c>
      <c r="B20" t="s">
        <v>12</v>
      </c>
      <c r="C20">
        <v>1</v>
      </c>
      <c r="D20" t="str">
        <f t="shared" si="0"/>
        <v>1-G-1</v>
      </c>
      <c r="F20">
        <v>1</v>
      </c>
      <c r="Q20" s="26">
        <v>1</v>
      </c>
    </row>
    <row r="21" spans="1:17">
      <c r="A21">
        <v>1</v>
      </c>
      <c r="B21" t="s">
        <v>12</v>
      </c>
      <c r="C21">
        <v>2</v>
      </c>
      <c r="D21" t="str">
        <f t="shared" si="0"/>
        <v>1-G-2</v>
      </c>
      <c r="H21">
        <v>1</v>
      </c>
      <c r="I21" s="57">
        <v>1</v>
      </c>
    </row>
    <row r="22" spans="1:17">
      <c r="A22">
        <v>1</v>
      </c>
      <c r="B22" t="s">
        <v>12</v>
      </c>
      <c r="C22">
        <v>3</v>
      </c>
      <c r="D22" t="str">
        <f t="shared" si="0"/>
        <v>1-G-3</v>
      </c>
      <c r="H22">
        <v>1</v>
      </c>
      <c r="I22" s="57">
        <v>1</v>
      </c>
    </row>
    <row r="23" spans="1:17" hidden="1">
      <c r="A23">
        <v>1</v>
      </c>
      <c r="B23" t="s">
        <v>13</v>
      </c>
      <c r="C23">
        <v>1</v>
      </c>
      <c r="D23" t="str">
        <f t="shared" si="0"/>
        <v>1-H-1</v>
      </c>
      <c r="E23">
        <v>1</v>
      </c>
    </row>
    <row r="24" spans="1:17">
      <c r="A24">
        <v>1</v>
      </c>
      <c r="B24" t="s">
        <v>13</v>
      </c>
      <c r="C24">
        <v>2</v>
      </c>
      <c r="D24" t="str">
        <f t="shared" si="0"/>
        <v>1-H-2</v>
      </c>
      <c r="H24">
        <v>1</v>
      </c>
      <c r="I24" s="57">
        <v>1</v>
      </c>
    </row>
    <row r="25" spans="1:17">
      <c r="A25">
        <v>1</v>
      </c>
      <c r="B25" t="s">
        <v>13</v>
      </c>
      <c r="C25">
        <v>3</v>
      </c>
      <c r="D25" t="str">
        <f t="shared" si="0"/>
        <v>1-H-3</v>
      </c>
      <c r="H25">
        <v>1</v>
      </c>
      <c r="I25" s="57">
        <v>1</v>
      </c>
    </row>
    <row r="26" spans="1:17" hidden="1">
      <c r="A26">
        <v>1</v>
      </c>
      <c r="B26" t="s">
        <v>14</v>
      </c>
      <c r="C26">
        <v>1</v>
      </c>
      <c r="D26" t="str">
        <f t="shared" si="0"/>
        <v>1-I-1</v>
      </c>
      <c r="E26">
        <v>1</v>
      </c>
    </row>
    <row r="27" spans="1:17" hidden="1">
      <c r="A27">
        <v>1</v>
      </c>
      <c r="B27" t="s">
        <v>14</v>
      </c>
      <c r="C27">
        <v>2</v>
      </c>
      <c r="D27" t="str">
        <f t="shared" si="0"/>
        <v>1-I-2</v>
      </c>
      <c r="E27">
        <v>1</v>
      </c>
    </row>
    <row r="28" spans="1:17">
      <c r="A28">
        <v>1</v>
      </c>
      <c r="B28" t="s">
        <v>14</v>
      </c>
      <c r="C28">
        <v>3</v>
      </c>
      <c r="D28" t="str">
        <f t="shared" si="0"/>
        <v>1-I-3</v>
      </c>
      <c r="H28">
        <v>1</v>
      </c>
      <c r="I28" s="57">
        <v>1</v>
      </c>
    </row>
    <row r="29" spans="1:17">
      <c r="A29">
        <v>2</v>
      </c>
      <c r="B29" t="s">
        <v>6</v>
      </c>
      <c r="C29">
        <v>1</v>
      </c>
      <c r="D29" t="str">
        <f t="shared" si="0"/>
        <v>2-A-1</v>
      </c>
      <c r="H29">
        <v>1</v>
      </c>
      <c r="I29" s="57">
        <v>1</v>
      </c>
    </row>
    <row r="30" spans="1:17">
      <c r="A30">
        <v>2</v>
      </c>
      <c r="B30" t="s">
        <v>6</v>
      </c>
      <c r="C30">
        <v>2</v>
      </c>
      <c r="D30" t="str">
        <f t="shared" si="0"/>
        <v>2-A-2</v>
      </c>
      <c r="H30">
        <v>1</v>
      </c>
      <c r="I30" s="57">
        <v>1</v>
      </c>
    </row>
    <row r="31" spans="1:17" hidden="1">
      <c r="A31">
        <v>2</v>
      </c>
      <c r="B31" t="s">
        <v>6</v>
      </c>
      <c r="C31">
        <v>3</v>
      </c>
      <c r="D31" t="str">
        <f t="shared" si="0"/>
        <v>2-A-3</v>
      </c>
      <c r="F31">
        <v>1</v>
      </c>
      <c r="P31" s="26">
        <v>1</v>
      </c>
    </row>
    <row r="32" spans="1:17">
      <c r="A32">
        <v>2</v>
      </c>
      <c r="B32" t="s">
        <v>7</v>
      </c>
      <c r="C32">
        <v>1</v>
      </c>
      <c r="D32" t="str">
        <f t="shared" si="0"/>
        <v>2-B-1</v>
      </c>
      <c r="H32">
        <v>1</v>
      </c>
      <c r="I32" s="57">
        <v>1</v>
      </c>
    </row>
    <row r="33" spans="1:16">
      <c r="A33">
        <v>2</v>
      </c>
      <c r="B33" t="s">
        <v>7</v>
      </c>
      <c r="C33">
        <v>2</v>
      </c>
      <c r="D33" t="str">
        <f t="shared" si="0"/>
        <v>2-B-2</v>
      </c>
      <c r="H33">
        <v>1</v>
      </c>
      <c r="I33" s="57">
        <v>1</v>
      </c>
    </row>
    <row r="34" spans="1:16">
      <c r="A34">
        <v>2</v>
      </c>
      <c r="B34" t="s">
        <v>7</v>
      </c>
      <c r="C34">
        <v>3</v>
      </c>
      <c r="D34" t="str">
        <f t="shared" si="0"/>
        <v>2-B-3</v>
      </c>
      <c r="H34">
        <v>1</v>
      </c>
      <c r="I34" s="57">
        <v>1</v>
      </c>
    </row>
    <row r="35" spans="1:16">
      <c r="A35">
        <v>2</v>
      </c>
      <c r="B35" t="s">
        <v>8</v>
      </c>
      <c r="C35">
        <v>1</v>
      </c>
      <c r="D35" t="str">
        <f t="shared" si="0"/>
        <v>2-C-1</v>
      </c>
      <c r="H35">
        <v>1</v>
      </c>
      <c r="I35" s="57">
        <v>1</v>
      </c>
    </row>
    <row r="36" spans="1:16">
      <c r="A36">
        <v>2</v>
      </c>
      <c r="B36" t="s">
        <v>8</v>
      </c>
      <c r="C36">
        <v>2</v>
      </c>
      <c r="D36" t="str">
        <f t="shared" si="0"/>
        <v>2-C-2</v>
      </c>
      <c r="H36">
        <v>1</v>
      </c>
      <c r="I36" s="57">
        <v>1</v>
      </c>
    </row>
    <row r="37" spans="1:16">
      <c r="A37">
        <v>2</v>
      </c>
      <c r="B37" t="s">
        <v>8</v>
      </c>
      <c r="C37">
        <v>3</v>
      </c>
      <c r="D37" t="str">
        <f t="shared" si="0"/>
        <v>2-C-3</v>
      </c>
      <c r="H37">
        <v>1</v>
      </c>
      <c r="I37" s="57">
        <v>1</v>
      </c>
    </row>
    <row r="38" spans="1:16">
      <c r="A38">
        <v>2</v>
      </c>
      <c r="B38" t="s">
        <v>9</v>
      </c>
      <c r="C38">
        <v>1</v>
      </c>
      <c r="D38" t="str">
        <f t="shared" si="0"/>
        <v>2-D-1</v>
      </c>
      <c r="H38">
        <v>1</v>
      </c>
      <c r="I38" s="57">
        <v>1</v>
      </c>
    </row>
    <row r="39" spans="1:16">
      <c r="A39">
        <v>2</v>
      </c>
      <c r="B39" t="s">
        <v>9</v>
      </c>
      <c r="C39">
        <v>2</v>
      </c>
      <c r="D39" t="str">
        <f t="shared" si="0"/>
        <v>2-D-2</v>
      </c>
      <c r="H39">
        <v>1</v>
      </c>
      <c r="I39" s="57">
        <v>1</v>
      </c>
    </row>
    <row r="40" spans="1:16">
      <c r="A40">
        <v>2</v>
      </c>
      <c r="B40" t="s">
        <v>9</v>
      </c>
      <c r="C40">
        <v>3</v>
      </c>
      <c r="D40" t="str">
        <f t="shared" si="0"/>
        <v>2-D-3</v>
      </c>
      <c r="H40">
        <v>1</v>
      </c>
      <c r="I40" s="57">
        <v>1</v>
      </c>
    </row>
    <row r="41" spans="1:16">
      <c r="A41">
        <v>2</v>
      </c>
      <c r="B41" t="s">
        <v>10</v>
      </c>
      <c r="C41">
        <v>1</v>
      </c>
      <c r="D41" t="str">
        <f t="shared" si="0"/>
        <v>2-E-1</v>
      </c>
      <c r="H41">
        <v>1</v>
      </c>
      <c r="I41" s="57">
        <v>1</v>
      </c>
    </row>
    <row r="42" spans="1:16">
      <c r="A42">
        <v>2</v>
      </c>
      <c r="B42" t="s">
        <v>10</v>
      </c>
      <c r="C42">
        <v>2</v>
      </c>
      <c r="D42" t="str">
        <f t="shared" si="0"/>
        <v>2-E-2</v>
      </c>
      <c r="H42">
        <v>1</v>
      </c>
      <c r="I42" s="57">
        <v>1</v>
      </c>
    </row>
    <row r="43" spans="1:16">
      <c r="A43">
        <v>2</v>
      </c>
      <c r="B43" t="s">
        <v>10</v>
      </c>
      <c r="C43">
        <v>3</v>
      </c>
      <c r="D43" t="str">
        <f t="shared" si="0"/>
        <v>2-E-3</v>
      </c>
      <c r="H43">
        <v>1</v>
      </c>
      <c r="I43" s="57">
        <v>1</v>
      </c>
    </row>
    <row r="44" spans="1:16" hidden="1">
      <c r="A44">
        <v>2</v>
      </c>
      <c r="B44" t="s">
        <v>11</v>
      </c>
      <c r="C44">
        <v>1</v>
      </c>
      <c r="D44" t="str">
        <f t="shared" si="0"/>
        <v>2-F-1</v>
      </c>
      <c r="F44">
        <v>1</v>
      </c>
      <c r="P44" s="26">
        <v>1</v>
      </c>
    </row>
    <row r="45" spans="1:16">
      <c r="A45">
        <v>2</v>
      </c>
      <c r="B45" t="s">
        <v>11</v>
      </c>
      <c r="C45">
        <v>2</v>
      </c>
      <c r="D45" t="str">
        <f t="shared" si="0"/>
        <v>2-F-2</v>
      </c>
      <c r="H45">
        <v>1</v>
      </c>
      <c r="I45" s="57">
        <v>1</v>
      </c>
    </row>
    <row r="46" spans="1:16">
      <c r="A46">
        <v>2</v>
      </c>
      <c r="B46" t="s">
        <v>11</v>
      </c>
      <c r="C46">
        <v>3</v>
      </c>
      <c r="D46" t="str">
        <f t="shared" si="0"/>
        <v>2-F-3</v>
      </c>
      <c r="H46">
        <v>1</v>
      </c>
      <c r="J46" s="57">
        <v>1</v>
      </c>
    </row>
    <row r="47" spans="1:16">
      <c r="A47">
        <v>2</v>
      </c>
      <c r="B47" t="s">
        <v>12</v>
      </c>
      <c r="C47">
        <v>1</v>
      </c>
      <c r="D47" t="str">
        <f t="shared" si="0"/>
        <v>2-G-1</v>
      </c>
      <c r="H47">
        <v>1</v>
      </c>
      <c r="I47" s="57">
        <v>1</v>
      </c>
    </row>
    <row r="48" spans="1:16">
      <c r="A48">
        <v>2</v>
      </c>
      <c r="B48" t="s">
        <v>12</v>
      </c>
      <c r="C48">
        <v>2</v>
      </c>
      <c r="D48" t="str">
        <f t="shared" si="0"/>
        <v>2-G-2</v>
      </c>
      <c r="H48">
        <v>1</v>
      </c>
      <c r="I48" s="57">
        <v>1</v>
      </c>
    </row>
    <row r="49" spans="1:14">
      <c r="A49">
        <v>2</v>
      </c>
      <c r="B49" t="s">
        <v>12</v>
      </c>
      <c r="C49">
        <v>3</v>
      </c>
      <c r="D49" t="str">
        <f t="shared" si="0"/>
        <v>2-G-3</v>
      </c>
      <c r="H49">
        <v>1</v>
      </c>
      <c r="I49" s="57">
        <v>1</v>
      </c>
    </row>
    <row r="50" spans="1:14">
      <c r="A50">
        <v>2</v>
      </c>
      <c r="B50" t="s">
        <v>13</v>
      </c>
      <c r="C50">
        <v>1</v>
      </c>
      <c r="D50" t="str">
        <f t="shared" si="0"/>
        <v>2-H-1</v>
      </c>
      <c r="H50">
        <v>1</v>
      </c>
      <c r="I50" s="57">
        <v>1</v>
      </c>
    </row>
    <row r="51" spans="1:14">
      <c r="A51">
        <v>2</v>
      </c>
      <c r="B51" t="s">
        <v>13</v>
      </c>
      <c r="C51">
        <v>2</v>
      </c>
      <c r="D51" t="str">
        <f t="shared" si="0"/>
        <v>2-H-2</v>
      </c>
      <c r="H51">
        <v>1</v>
      </c>
      <c r="I51" s="57">
        <v>1</v>
      </c>
    </row>
    <row r="52" spans="1:14">
      <c r="A52">
        <v>2</v>
      </c>
      <c r="B52" t="s">
        <v>13</v>
      </c>
      <c r="C52">
        <v>3</v>
      </c>
      <c r="D52" t="str">
        <f t="shared" si="0"/>
        <v>2-H-3</v>
      </c>
      <c r="H52">
        <v>1</v>
      </c>
      <c r="I52" s="57">
        <v>1</v>
      </c>
    </row>
    <row r="53" spans="1:14">
      <c r="A53">
        <v>2</v>
      </c>
      <c r="B53" t="s">
        <v>14</v>
      </c>
      <c r="C53">
        <v>1</v>
      </c>
      <c r="D53" t="str">
        <f t="shared" si="0"/>
        <v>2-I-1</v>
      </c>
      <c r="H53">
        <v>1</v>
      </c>
      <c r="J53" s="57">
        <v>1</v>
      </c>
    </row>
    <row r="54" spans="1:14">
      <c r="A54">
        <v>2</v>
      </c>
      <c r="B54" t="s">
        <v>14</v>
      </c>
      <c r="C54">
        <v>2</v>
      </c>
      <c r="D54" t="str">
        <f t="shared" si="0"/>
        <v>2-I-2</v>
      </c>
      <c r="H54">
        <v>1</v>
      </c>
      <c r="J54" s="57">
        <v>1</v>
      </c>
    </row>
    <row r="55" spans="1:14">
      <c r="A55">
        <v>2</v>
      </c>
      <c r="B55" t="s">
        <v>14</v>
      </c>
      <c r="C55">
        <v>3</v>
      </c>
      <c r="D55" t="str">
        <f t="shared" si="0"/>
        <v>2-I-3</v>
      </c>
      <c r="H55">
        <v>1</v>
      </c>
      <c r="I55" s="57">
        <v>1</v>
      </c>
    </row>
    <row r="56" spans="1:14">
      <c r="A56">
        <v>3</v>
      </c>
      <c r="B56" t="s">
        <v>6</v>
      </c>
      <c r="C56">
        <v>1</v>
      </c>
      <c r="D56" t="str">
        <f t="shared" si="0"/>
        <v>3-A-1</v>
      </c>
      <c r="H56">
        <v>1</v>
      </c>
      <c r="N56" s="58">
        <v>1</v>
      </c>
    </row>
    <row r="57" spans="1:14">
      <c r="A57">
        <v>3</v>
      </c>
      <c r="B57" t="s">
        <v>6</v>
      </c>
      <c r="C57">
        <v>2</v>
      </c>
      <c r="D57" t="str">
        <f t="shared" si="0"/>
        <v>3-A-2</v>
      </c>
      <c r="H57">
        <v>1</v>
      </c>
      <c r="N57" s="58">
        <v>1</v>
      </c>
    </row>
    <row r="58" spans="1:14">
      <c r="A58">
        <v>3</v>
      </c>
      <c r="B58" t="s">
        <v>6</v>
      </c>
      <c r="C58">
        <v>3</v>
      </c>
      <c r="D58" t="str">
        <f t="shared" si="0"/>
        <v>3-A-3</v>
      </c>
      <c r="H58">
        <v>1</v>
      </c>
      <c r="I58" s="57">
        <v>1</v>
      </c>
    </row>
    <row r="59" spans="1:14">
      <c r="A59">
        <v>3</v>
      </c>
      <c r="B59" t="s">
        <v>8</v>
      </c>
      <c r="C59">
        <v>1</v>
      </c>
      <c r="D59" t="str">
        <f t="shared" si="0"/>
        <v>3-C-1</v>
      </c>
      <c r="H59">
        <v>1</v>
      </c>
      <c r="I59" s="57">
        <v>1</v>
      </c>
    </row>
    <row r="60" spans="1:14">
      <c r="A60">
        <v>3</v>
      </c>
      <c r="B60" t="s">
        <v>8</v>
      </c>
      <c r="C60">
        <v>2</v>
      </c>
      <c r="D60" t="str">
        <f t="shared" si="0"/>
        <v>3-C-2</v>
      </c>
      <c r="H60">
        <v>1</v>
      </c>
      <c r="I60" s="57">
        <v>1</v>
      </c>
    </row>
    <row r="61" spans="1:14">
      <c r="A61">
        <v>3</v>
      </c>
      <c r="B61" t="s">
        <v>8</v>
      </c>
      <c r="C61">
        <v>3</v>
      </c>
      <c r="D61" t="str">
        <f t="shared" si="0"/>
        <v>3-C-3</v>
      </c>
      <c r="H61">
        <v>1</v>
      </c>
      <c r="L61" s="54">
        <v>1</v>
      </c>
    </row>
    <row r="62" spans="1:14">
      <c r="A62">
        <v>3</v>
      </c>
      <c r="B62" t="s">
        <v>9</v>
      </c>
      <c r="C62">
        <v>1</v>
      </c>
      <c r="D62" t="str">
        <f t="shared" si="0"/>
        <v>3-D-1</v>
      </c>
      <c r="H62">
        <v>1</v>
      </c>
      <c r="N62" s="58">
        <v>1</v>
      </c>
    </row>
    <row r="63" spans="1:14">
      <c r="A63">
        <v>3</v>
      </c>
      <c r="B63" t="s">
        <v>9</v>
      </c>
      <c r="C63">
        <v>2</v>
      </c>
      <c r="D63" t="str">
        <f t="shared" si="0"/>
        <v>3-D-2</v>
      </c>
      <c r="H63">
        <v>1</v>
      </c>
      <c r="N63" s="58">
        <v>1</v>
      </c>
    </row>
    <row r="64" spans="1:14">
      <c r="A64">
        <v>3</v>
      </c>
      <c r="B64" t="s">
        <v>9</v>
      </c>
      <c r="C64">
        <v>3</v>
      </c>
      <c r="D64" t="str">
        <f t="shared" si="0"/>
        <v>3-D-3</v>
      </c>
      <c r="H64">
        <v>1</v>
      </c>
      <c r="N64" s="58">
        <v>1</v>
      </c>
    </row>
    <row r="65" spans="1:16">
      <c r="A65">
        <v>3</v>
      </c>
      <c r="B65" t="s">
        <v>11</v>
      </c>
      <c r="C65">
        <v>1</v>
      </c>
      <c r="D65" t="str">
        <f t="shared" si="0"/>
        <v>3-F-1</v>
      </c>
      <c r="H65">
        <v>1</v>
      </c>
      <c r="I65" s="57">
        <v>1</v>
      </c>
    </row>
    <row r="66" spans="1:16">
      <c r="A66">
        <v>3</v>
      </c>
      <c r="B66" t="s">
        <v>11</v>
      </c>
      <c r="C66">
        <v>2</v>
      </c>
      <c r="D66" t="str">
        <f t="shared" ref="D66:D129" si="1">A66&amp;"-"&amp;B66&amp;"-"&amp;C66</f>
        <v>3-F-2</v>
      </c>
      <c r="H66">
        <v>1</v>
      </c>
      <c r="N66" s="58">
        <v>1</v>
      </c>
    </row>
    <row r="67" spans="1:16">
      <c r="A67">
        <v>3</v>
      </c>
      <c r="B67" t="s">
        <v>11</v>
      </c>
      <c r="C67">
        <v>3</v>
      </c>
      <c r="D67" t="str">
        <f t="shared" si="1"/>
        <v>3-F-3</v>
      </c>
      <c r="H67">
        <v>1</v>
      </c>
      <c r="I67" s="57">
        <v>1</v>
      </c>
    </row>
    <row r="68" spans="1:16">
      <c r="A68">
        <v>3</v>
      </c>
      <c r="B68" t="s">
        <v>12</v>
      </c>
      <c r="C68">
        <v>1</v>
      </c>
      <c r="D68" t="str">
        <f t="shared" si="1"/>
        <v>3-G-1</v>
      </c>
      <c r="H68">
        <v>1</v>
      </c>
      <c r="N68" s="58">
        <v>1</v>
      </c>
    </row>
    <row r="69" spans="1:16">
      <c r="A69">
        <v>3</v>
      </c>
      <c r="B69" t="s">
        <v>12</v>
      </c>
      <c r="C69">
        <v>2</v>
      </c>
      <c r="D69" t="str">
        <f t="shared" si="1"/>
        <v>3-G-2</v>
      </c>
      <c r="H69">
        <v>1</v>
      </c>
      <c r="N69" s="58">
        <v>1</v>
      </c>
    </row>
    <row r="70" spans="1:16">
      <c r="A70">
        <v>3</v>
      </c>
      <c r="B70" t="s">
        <v>12</v>
      </c>
      <c r="C70">
        <v>3</v>
      </c>
      <c r="D70" t="str">
        <f t="shared" si="1"/>
        <v>3-G-3</v>
      </c>
      <c r="H70">
        <v>1</v>
      </c>
      <c r="N70" s="58">
        <v>1</v>
      </c>
    </row>
    <row r="71" spans="1:16">
      <c r="A71">
        <v>3</v>
      </c>
      <c r="B71" t="s">
        <v>14</v>
      </c>
      <c r="C71">
        <v>1</v>
      </c>
      <c r="D71" t="str">
        <f t="shared" si="1"/>
        <v>3-I-1</v>
      </c>
      <c r="H71">
        <v>1</v>
      </c>
      <c r="N71" s="58">
        <v>1</v>
      </c>
    </row>
    <row r="72" spans="1:16">
      <c r="A72">
        <v>3</v>
      </c>
      <c r="B72" t="s">
        <v>14</v>
      </c>
      <c r="C72">
        <v>2</v>
      </c>
      <c r="D72" t="str">
        <f t="shared" si="1"/>
        <v>3-I-2</v>
      </c>
      <c r="H72">
        <v>1</v>
      </c>
      <c r="N72" s="58">
        <v>1</v>
      </c>
    </row>
    <row r="73" spans="1:16">
      <c r="A73">
        <v>3</v>
      </c>
      <c r="B73" t="s">
        <v>14</v>
      </c>
      <c r="C73">
        <v>3</v>
      </c>
      <c r="D73" t="str">
        <f t="shared" si="1"/>
        <v>3-I-3</v>
      </c>
      <c r="H73">
        <v>1</v>
      </c>
      <c r="N73" s="58">
        <v>1</v>
      </c>
    </row>
    <row r="74" spans="1:16" hidden="1">
      <c r="A74">
        <v>4</v>
      </c>
      <c r="B74" t="s">
        <v>6</v>
      </c>
      <c r="C74">
        <v>1</v>
      </c>
      <c r="D74" t="str">
        <f t="shared" si="1"/>
        <v>4-A-1</v>
      </c>
      <c r="F74">
        <v>1</v>
      </c>
      <c r="P74" s="26">
        <v>1</v>
      </c>
    </row>
    <row r="75" spans="1:16" hidden="1">
      <c r="A75">
        <v>4</v>
      </c>
      <c r="B75" t="s">
        <v>6</v>
      </c>
      <c r="C75">
        <v>2</v>
      </c>
      <c r="D75" t="str">
        <f t="shared" si="1"/>
        <v>4-A-2</v>
      </c>
      <c r="F75">
        <v>1</v>
      </c>
      <c r="P75" s="26">
        <v>1</v>
      </c>
    </row>
    <row r="76" spans="1:16" hidden="1">
      <c r="A76">
        <v>4</v>
      </c>
      <c r="B76" t="s">
        <v>6</v>
      </c>
      <c r="C76">
        <v>3</v>
      </c>
      <c r="D76" t="str">
        <f t="shared" si="1"/>
        <v>4-A-3</v>
      </c>
      <c r="F76">
        <v>1</v>
      </c>
      <c r="P76" s="26">
        <v>1</v>
      </c>
    </row>
    <row r="77" spans="1:16" hidden="1">
      <c r="A77">
        <v>4</v>
      </c>
      <c r="B77" t="s">
        <v>8</v>
      </c>
      <c r="C77">
        <v>1</v>
      </c>
      <c r="D77" t="str">
        <f t="shared" si="1"/>
        <v>4-C-1</v>
      </c>
      <c r="F77">
        <v>1</v>
      </c>
      <c r="P77" s="26">
        <v>1</v>
      </c>
    </row>
    <row r="78" spans="1:16" hidden="1">
      <c r="A78">
        <v>4</v>
      </c>
      <c r="B78" t="s">
        <v>8</v>
      </c>
      <c r="C78">
        <v>2</v>
      </c>
      <c r="D78" t="str">
        <f t="shared" si="1"/>
        <v>4-C-2</v>
      </c>
      <c r="F78">
        <v>1</v>
      </c>
      <c r="P78" s="26">
        <v>1</v>
      </c>
    </row>
    <row r="79" spans="1:16" hidden="1">
      <c r="A79">
        <v>4</v>
      </c>
      <c r="B79" t="s">
        <v>8</v>
      </c>
      <c r="C79">
        <v>3</v>
      </c>
      <c r="D79" t="str">
        <f t="shared" si="1"/>
        <v>4-C-3</v>
      </c>
      <c r="E79">
        <v>1</v>
      </c>
    </row>
    <row r="80" spans="1:16" hidden="1">
      <c r="A80">
        <v>4</v>
      </c>
      <c r="B80" t="s">
        <v>9</v>
      </c>
      <c r="C80">
        <v>1</v>
      </c>
      <c r="D80" t="str">
        <f t="shared" si="1"/>
        <v>4-D-1</v>
      </c>
      <c r="F80">
        <v>1</v>
      </c>
      <c r="P80" s="26">
        <v>1</v>
      </c>
    </row>
    <row r="81" spans="1:17" hidden="1">
      <c r="A81">
        <v>4</v>
      </c>
      <c r="B81" t="s">
        <v>9</v>
      </c>
      <c r="C81">
        <v>2</v>
      </c>
      <c r="D81" t="str">
        <f t="shared" si="1"/>
        <v>4-D-2</v>
      </c>
      <c r="F81">
        <v>1</v>
      </c>
      <c r="P81" s="26">
        <v>1</v>
      </c>
    </row>
    <row r="82" spans="1:17" hidden="1">
      <c r="A82">
        <v>4</v>
      </c>
      <c r="B82" t="s">
        <v>9</v>
      </c>
      <c r="C82">
        <v>3</v>
      </c>
      <c r="D82" t="str">
        <f t="shared" si="1"/>
        <v>4-D-3</v>
      </c>
      <c r="F82">
        <v>1</v>
      </c>
      <c r="P82" s="26">
        <v>1</v>
      </c>
    </row>
    <row r="83" spans="1:17" hidden="1">
      <c r="A83">
        <v>4</v>
      </c>
      <c r="B83" t="s">
        <v>11</v>
      </c>
      <c r="C83">
        <v>1</v>
      </c>
      <c r="D83" t="str">
        <f t="shared" si="1"/>
        <v>4-F-1</v>
      </c>
      <c r="F83">
        <v>1</v>
      </c>
      <c r="Q83" s="26">
        <v>1</v>
      </c>
    </row>
    <row r="84" spans="1:17" hidden="1">
      <c r="A84">
        <v>4</v>
      </c>
      <c r="B84" t="s">
        <v>11</v>
      </c>
      <c r="C84">
        <v>2</v>
      </c>
      <c r="D84" t="str">
        <f t="shared" si="1"/>
        <v>4-F-2</v>
      </c>
      <c r="F84">
        <v>1</v>
      </c>
      <c r="P84" s="26">
        <v>1</v>
      </c>
    </row>
    <row r="85" spans="1:17" hidden="1">
      <c r="A85">
        <v>4</v>
      </c>
      <c r="B85" t="s">
        <v>11</v>
      </c>
      <c r="C85">
        <v>3</v>
      </c>
      <c r="D85" t="str">
        <f t="shared" si="1"/>
        <v>4-F-3</v>
      </c>
      <c r="F85">
        <v>1</v>
      </c>
      <c r="P85" s="26">
        <v>1</v>
      </c>
    </row>
    <row r="86" spans="1:17">
      <c r="A86">
        <v>4</v>
      </c>
      <c r="B86" t="s">
        <v>12</v>
      </c>
      <c r="C86">
        <v>1</v>
      </c>
      <c r="D86" t="str">
        <f t="shared" si="1"/>
        <v>4-G-1</v>
      </c>
      <c r="H86">
        <v>1</v>
      </c>
      <c r="K86" s="57">
        <v>1</v>
      </c>
    </row>
    <row r="87" spans="1:17" hidden="1">
      <c r="A87">
        <v>4</v>
      </c>
      <c r="B87" t="s">
        <v>12</v>
      </c>
      <c r="C87">
        <v>2</v>
      </c>
      <c r="D87" t="str">
        <f t="shared" si="1"/>
        <v>4-G-2</v>
      </c>
      <c r="F87">
        <v>1</v>
      </c>
      <c r="P87" s="26">
        <v>1</v>
      </c>
    </row>
    <row r="88" spans="1:17" hidden="1">
      <c r="A88">
        <v>4</v>
      </c>
      <c r="B88" t="s">
        <v>12</v>
      </c>
      <c r="C88">
        <v>3</v>
      </c>
      <c r="D88" t="str">
        <f t="shared" si="1"/>
        <v>4-G-3</v>
      </c>
      <c r="F88">
        <v>1</v>
      </c>
      <c r="P88" s="26">
        <v>1</v>
      </c>
    </row>
    <row r="89" spans="1:17" hidden="1">
      <c r="A89">
        <v>4</v>
      </c>
      <c r="B89" t="s">
        <v>14</v>
      </c>
      <c r="C89">
        <v>1</v>
      </c>
      <c r="D89" t="str">
        <f t="shared" si="1"/>
        <v>4-I-1</v>
      </c>
      <c r="F89">
        <v>1</v>
      </c>
      <c r="P89" s="26">
        <v>1</v>
      </c>
    </row>
    <row r="90" spans="1:17">
      <c r="A90">
        <v>4</v>
      </c>
      <c r="B90" t="s">
        <v>14</v>
      </c>
      <c r="C90">
        <v>2</v>
      </c>
      <c r="D90" t="str">
        <f t="shared" si="1"/>
        <v>4-I-2</v>
      </c>
      <c r="H90">
        <v>1</v>
      </c>
      <c r="K90" s="57">
        <v>1</v>
      </c>
    </row>
    <row r="91" spans="1:17" hidden="1">
      <c r="A91">
        <v>4</v>
      </c>
      <c r="B91" t="s">
        <v>14</v>
      </c>
      <c r="C91">
        <v>3</v>
      </c>
      <c r="D91" t="str">
        <f t="shared" si="1"/>
        <v>4-I-3</v>
      </c>
      <c r="F91">
        <v>1</v>
      </c>
      <c r="P91" s="26">
        <v>1</v>
      </c>
    </row>
    <row r="92" spans="1:17" hidden="1">
      <c r="A92">
        <v>5</v>
      </c>
      <c r="B92" t="s">
        <v>6</v>
      </c>
      <c r="C92">
        <v>1</v>
      </c>
      <c r="D92" t="str">
        <f t="shared" si="1"/>
        <v>5-A-1</v>
      </c>
      <c r="F92">
        <v>1</v>
      </c>
      <c r="P92" s="26">
        <v>1</v>
      </c>
    </row>
    <row r="93" spans="1:17">
      <c r="A93">
        <v>5</v>
      </c>
      <c r="B93" t="s">
        <v>6</v>
      </c>
      <c r="C93">
        <v>2</v>
      </c>
      <c r="D93" t="str">
        <f t="shared" si="1"/>
        <v>5-A-2</v>
      </c>
      <c r="H93">
        <v>1</v>
      </c>
      <c r="I93" s="57">
        <v>1</v>
      </c>
    </row>
    <row r="94" spans="1:17" hidden="1">
      <c r="A94">
        <v>5</v>
      </c>
      <c r="B94" t="s">
        <v>6</v>
      </c>
      <c r="C94">
        <v>3</v>
      </c>
      <c r="D94" t="str">
        <f t="shared" si="1"/>
        <v>5-A-3</v>
      </c>
      <c r="E94">
        <v>1</v>
      </c>
    </row>
    <row r="95" spans="1:17" hidden="1">
      <c r="A95">
        <v>5</v>
      </c>
      <c r="B95" t="s">
        <v>8</v>
      </c>
      <c r="C95">
        <v>1</v>
      </c>
      <c r="D95" t="str">
        <f t="shared" si="1"/>
        <v>5-C-1</v>
      </c>
      <c r="E95">
        <v>1</v>
      </c>
    </row>
    <row r="96" spans="1:17">
      <c r="A96">
        <v>5</v>
      </c>
      <c r="B96" t="s">
        <v>8</v>
      </c>
      <c r="C96">
        <v>2</v>
      </c>
      <c r="D96" t="str">
        <f t="shared" si="1"/>
        <v>5-C-2</v>
      </c>
      <c r="H96">
        <v>1</v>
      </c>
      <c r="I96" s="57">
        <v>1</v>
      </c>
    </row>
    <row r="97" spans="1:16">
      <c r="A97">
        <v>5</v>
      </c>
      <c r="B97" t="s">
        <v>8</v>
      </c>
      <c r="C97">
        <v>3</v>
      </c>
      <c r="D97" t="str">
        <f t="shared" si="1"/>
        <v>5-C-3</v>
      </c>
      <c r="H97">
        <v>1</v>
      </c>
      <c r="N97" s="58">
        <v>1</v>
      </c>
    </row>
    <row r="98" spans="1:16">
      <c r="A98">
        <v>5</v>
      </c>
      <c r="B98" t="s">
        <v>9</v>
      </c>
      <c r="C98">
        <v>1</v>
      </c>
      <c r="D98" t="str">
        <f t="shared" si="1"/>
        <v>5-D-1</v>
      </c>
      <c r="H98">
        <v>1</v>
      </c>
      <c r="I98" s="57">
        <v>1</v>
      </c>
    </row>
    <row r="99" spans="1:16" hidden="1">
      <c r="A99">
        <v>5</v>
      </c>
      <c r="B99" t="s">
        <v>9</v>
      </c>
      <c r="C99">
        <v>2</v>
      </c>
      <c r="D99" t="str">
        <f t="shared" si="1"/>
        <v>5-D-2</v>
      </c>
      <c r="E99">
        <v>1</v>
      </c>
    </row>
    <row r="100" spans="1:16">
      <c r="A100">
        <v>5</v>
      </c>
      <c r="B100" t="s">
        <v>9</v>
      </c>
      <c r="C100">
        <v>3</v>
      </c>
      <c r="D100" t="str">
        <f t="shared" si="1"/>
        <v>5-D-3</v>
      </c>
      <c r="H100">
        <v>1</v>
      </c>
      <c r="I100" s="57">
        <v>1</v>
      </c>
    </row>
    <row r="101" spans="1:16">
      <c r="A101">
        <v>5</v>
      </c>
      <c r="B101" t="s">
        <v>11</v>
      </c>
      <c r="C101">
        <v>1</v>
      </c>
      <c r="D101" t="str">
        <f t="shared" si="1"/>
        <v>5-F-1</v>
      </c>
      <c r="H101">
        <v>1</v>
      </c>
      <c r="I101" s="57">
        <v>1</v>
      </c>
    </row>
    <row r="102" spans="1:16" hidden="1">
      <c r="A102">
        <v>5</v>
      </c>
      <c r="B102" t="s">
        <v>11</v>
      </c>
      <c r="C102">
        <v>2</v>
      </c>
      <c r="D102" t="str">
        <f t="shared" si="1"/>
        <v>5-F-2</v>
      </c>
      <c r="E102">
        <v>1</v>
      </c>
    </row>
    <row r="103" spans="1:16" hidden="1">
      <c r="A103">
        <v>5</v>
      </c>
      <c r="B103" t="s">
        <v>11</v>
      </c>
      <c r="C103">
        <v>3</v>
      </c>
      <c r="D103" t="str">
        <f t="shared" si="1"/>
        <v>5-F-3</v>
      </c>
      <c r="E103">
        <v>1</v>
      </c>
    </row>
    <row r="104" spans="1:16">
      <c r="A104">
        <v>5</v>
      </c>
      <c r="B104" t="s">
        <v>12</v>
      </c>
      <c r="C104">
        <v>1</v>
      </c>
      <c r="D104" t="str">
        <f t="shared" si="1"/>
        <v>5-G-1</v>
      </c>
      <c r="H104">
        <v>1</v>
      </c>
      <c r="I104" s="57">
        <v>1</v>
      </c>
    </row>
    <row r="105" spans="1:16">
      <c r="A105">
        <v>5</v>
      </c>
      <c r="B105" t="s">
        <v>12</v>
      </c>
      <c r="C105">
        <v>2</v>
      </c>
      <c r="D105" t="str">
        <f t="shared" si="1"/>
        <v>5-G-2</v>
      </c>
      <c r="H105">
        <v>1</v>
      </c>
      <c r="I105" s="57">
        <v>1</v>
      </c>
    </row>
    <row r="106" spans="1:16">
      <c r="A106">
        <v>5</v>
      </c>
      <c r="B106" t="s">
        <v>12</v>
      </c>
      <c r="C106">
        <v>3</v>
      </c>
      <c r="D106" t="str">
        <f t="shared" si="1"/>
        <v>5-G-3</v>
      </c>
      <c r="H106">
        <v>1</v>
      </c>
      <c r="I106" s="57">
        <v>1</v>
      </c>
    </row>
    <row r="107" spans="1:16" hidden="1">
      <c r="A107">
        <v>5</v>
      </c>
      <c r="B107" t="s">
        <v>14</v>
      </c>
      <c r="C107">
        <v>1</v>
      </c>
      <c r="D107" t="str">
        <f t="shared" si="1"/>
        <v>5-I-1</v>
      </c>
      <c r="E107">
        <v>1</v>
      </c>
    </row>
    <row r="108" spans="1:16">
      <c r="A108">
        <v>5</v>
      </c>
      <c r="B108" t="s">
        <v>14</v>
      </c>
      <c r="C108">
        <v>2</v>
      </c>
      <c r="D108" t="str">
        <f t="shared" si="1"/>
        <v>5-I-2</v>
      </c>
      <c r="H108">
        <v>1</v>
      </c>
      <c r="I108" s="57">
        <v>1</v>
      </c>
    </row>
    <row r="109" spans="1:16">
      <c r="A109">
        <v>5</v>
      </c>
      <c r="B109" t="s">
        <v>14</v>
      </c>
      <c r="C109">
        <v>3</v>
      </c>
      <c r="D109" t="str">
        <f t="shared" si="1"/>
        <v>5-I-3</v>
      </c>
      <c r="H109">
        <v>1</v>
      </c>
      <c r="I109" s="57">
        <v>1</v>
      </c>
    </row>
    <row r="110" spans="1:16">
      <c r="A110">
        <v>6</v>
      </c>
      <c r="B110" t="s">
        <v>6</v>
      </c>
      <c r="C110">
        <v>1</v>
      </c>
      <c r="D110" t="str">
        <f t="shared" si="1"/>
        <v>6-A-1</v>
      </c>
      <c r="H110">
        <v>1</v>
      </c>
      <c r="I110" s="57">
        <v>1</v>
      </c>
    </row>
    <row r="111" spans="1:16" hidden="1">
      <c r="A111">
        <v>6</v>
      </c>
      <c r="B111" t="s">
        <v>6</v>
      </c>
      <c r="C111">
        <v>2</v>
      </c>
      <c r="D111" t="str">
        <f t="shared" si="1"/>
        <v>6-A-2</v>
      </c>
      <c r="F111">
        <v>1</v>
      </c>
      <c r="P111" s="26">
        <v>1</v>
      </c>
    </row>
    <row r="112" spans="1:16" hidden="1">
      <c r="A112">
        <v>6</v>
      </c>
      <c r="B112" t="s">
        <v>6</v>
      </c>
      <c r="C112">
        <v>3</v>
      </c>
      <c r="D112" t="str">
        <f t="shared" si="1"/>
        <v>6-A-3</v>
      </c>
      <c r="F112">
        <v>1</v>
      </c>
      <c r="P112" s="26">
        <v>1</v>
      </c>
    </row>
    <row r="113" spans="1:16" hidden="1">
      <c r="A113">
        <v>6</v>
      </c>
      <c r="B113" t="s">
        <v>8</v>
      </c>
      <c r="C113">
        <v>1</v>
      </c>
      <c r="D113" t="str">
        <f t="shared" si="1"/>
        <v>6-C-1</v>
      </c>
      <c r="F113">
        <v>1</v>
      </c>
      <c r="P113" s="26">
        <v>1</v>
      </c>
    </row>
    <row r="114" spans="1:16">
      <c r="A114">
        <v>6</v>
      </c>
      <c r="B114" t="s">
        <v>8</v>
      </c>
      <c r="C114">
        <v>2</v>
      </c>
      <c r="D114" t="str">
        <f t="shared" si="1"/>
        <v>6-C-2</v>
      </c>
      <c r="H114">
        <v>1</v>
      </c>
      <c r="I114" s="57">
        <v>1</v>
      </c>
    </row>
    <row r="115" spans="1:16">
      <c r="A115">
        <v>6</v>
      </c>
      <c r="B115" t="s">
        <v>8</v>
      </c>
      <c r="C115">
        <v>3</v>
      </c>
      <c r="D115" t="str">
        <f t="shared" si="1"/>
        <v>6-C-3</v>
      </c>
      <c r="H115">
        <v>1</v>
      </c>
      <c r="J115" s="57">
        <v>1</v>
      </c>
    </row>
    <row r="116" spans="1:16">
      <c r="A116">
        <v>6</v>
      </c>
      <c r="B116" t="s">
        <v>9</v>
      </c>
      <c r="C116">
        <v>1</v>
      </c>
      <c r="D116" t="str">
        <f t="shared" si="1"/>
        <v>6-D-1</v>
      </c>
      <c r="H116">
        <v>1</v>
      </c>
      <c r="I116" s="57">
        <v>1</v>
      </c>
    </row>
    <row r="117" spans="1:16">
      <c r="A117">
        <v>6</v>
      </c>
      <c r="B117" t="s">
        <v>9</v>
      </c>
      <c r="C117">
        <v>2</v>
      </c>
      <c r="D117" t="str">
        <f t="shared" si="1"/>
        <v>6-D-2</v>
      </c>
      <c r="H117">
        <v>1</v>
      </c>
      <c r="I117" s="57">
        <v>1</v>
      </c>
    </row>
    <row r="118" spans="1:16">
      <c r="A118">
        <v>6</v>
      </c>
      <c r="B118" t="s">
        <v>9</v>
      </c>
      <c r="C118">
        <v>3</v>
      </c>
      <c r="D118" t="str">
        <f t="shared" si="1"/>
        <v>6-D-3</v>
      </c>
      <c r="H118">
        <v>1</v>
      </c>
      <c r="I118" s="57">
        <v>1</v>
      </c>
    </row>
    <row r="119" spans="1:16" hidden="1">
      <c r="A119">
        <v>6</v>
      </c>
      <c r="B119" t="s">
        <v>11</v>
      </c>
      <c r="C119">
        <v>1</v>
      </c>
      <c r="D119" t="str">
        <f t="shared" si="1"/>
        <v>6-F-1</v>
      </c>
      <c r="F119">
        <v>1</v>
      </c>
      <c r="P119" s="26">
        <v>1</v>
      </c>
    </row>
    <row r="120" spans="1:16">
      <c r="A120">
        <v>6</v>
      </c>
      <c r="B120" t="s">
        <v>11</v>
      </c>
      <c r="C120">
        <v>2</v>
      </c>
      <c r="D120" t="str">
        <f t="shared" si="1"/>
        <v>6-F-2</v>
      </c>
      <c r="H120">
        <v>1</v>
      </c>
      <c r="I120" s="57">
        <v>1</v>
      </c>
    </row>
    <row r="121" spans="1:16" hidden="1">
      <c r="A121">
        <v>6</v>
      </c>
      <c r="B121" t="s">
        <v>11</v>
      </c>
      <c r="C121">
        <v>3</v>
      </c>
      <c r="D121" t="str">
        <f t="shared" si="1"/>
        <v>6-F-3</v>
      </c>
      <c r="F121">
        <v>1</v>
      </c>
      <c r="P121" s="26">
        <v>1</v>
      </c>
    </row>
    <row r="122" spans="1:16">
      <c r="A122">
        <v>6</v>
      </c>
      <c r="B122" t="s">
        <v>12</v>
      </c>
      <c r="C122">
        <v>1</v>
      </c>
      <c r="D122" t="str">
        <f t="shared" si="1"/>
        <v>6-G-1</v>
      </c>
      <c r="H122">
        <v>1</v>
      </c>
      <c r="I122" s="57">
        <v>1</v>
      </c>
    </row>
    <row r="123" spans="1:16">
      <c r="A123">
        <v>6</v>
      </c>
      <c r="B123" t="s">
        <v>12</v>
      </c>
      <c r="C123">
        <v>2</v>
      </c>
      <c r="D123" t="str">
        <f t="shared" si="1"/>
        <v>6-G-2</v>
      </c>
      <c r="H123">
        <v>1</v>
      </c>
      <c r="I123" s="57">
        <v>1</v>
      </c>
    </row>
    <row r="124" spans="1:16" hidden="1">
      <c r="A124">
        <v>6</v>
      </c>
      <c r="B124" t="s">
        <v>12</v>
      </c>
      <c r="C124">
        <v>3</v>
      </c>
      <c r="D124" t="str">
        <f t="shared" si="1"/>
        <v>6-G-3</v>
      </c>
      <c r="F124">
        <v>1</v>
      </c>
      <c r="P124" s="26">
        <v>1</v>
      </c>
    </row>
    <row r="125" spans="1:16">
      <c r="A125">
        <v>6</v>
      </c>
      <c r="B125" t="s">
        <v>14</v>
      </c>
      <c r="C125">
        <v>1</v>
      </c>
      <c r="D125" t="str">
        <f t="shared" si="1"/>
        <v>6-I-1</v>
      </c>
      <c r="H125">
        <v>1</v>
      </c>
      <c r="I125" s="57">
        <v>1</v>
      </c>
    </row>
    <row r="126" spans="1:16">
      <c r="A126">
        <v>6</v>
      </c>
      <c r="B126" t="s">
        <v>14</v>
      </c>
      <c r="C126">
        <v>2</v>
      </c>
      <c r="D126" t="str">
        <f t="shared" si="1"/>
        <v>6-I-2</v>
      </c>
      <c r="H126">
        <v>1</v>
      </c>
      <c r="I126" s="57">
        <v>1</v>
      </c>
    </row>
    <row r="127" spans="1:16" hidden="1">
      <c r="A127">
        <v>6</v>
      </c>
      <c r="B127" t="s">
        <v>14</v>
      </c>
      <c r="C127">
        <v>3</v>
      </c>
      <c r="D127" t="str">
        <f t="shared" si="1"/>
        <v>6-I-3</v>
      </c>
      <c r="F127">
        <v>1</v>
      </c>
      <c r="P127" s="26">
        <v>1</v>
      </c>
    </row>
    <row r="128" spans="1:16">
      <c r="A128">
        <v>7</v>
      </c>
      <c r="B128" t="s">
        <v>6</v>
      </c>
      <c r="C128">
        <v>1</v>
      </c>
      <c r="D128" t="str">
        <f t="shared" si="1"/>
        <v>7-A-1</v>
      </c>
      <c r="H128">
        <v>1</v>
      </c>
      <c r="I128" s="57">
        <v>1</v>
      </c>
    </row>
    <row r="129" spans="1:16">
      <c r="A129">
        <v>7</v>
      </c>
      <c r="B129" t="s">
        <v>6</v>
      </c>
      <c r="C129">
        <v>2</v>
      </c>
      <c r="D129" t="str">
        <f t="shared" si="1"/>
        <v>7-A-2</v>
      </c>
      <c r="H129">
        <v>1</v>
      </c>
      <c r="I129" s="57">
        <v>1</v>
      </c>
    </row>
    <row r="130" spans="1:16">
      <c r="A130">
        <v>7</v>
      </c>
      <c r="B130" t="s">
        <v>6</v>
      </c>
      <c r="C130">
        <v>3</v>
      </c>
      <c r="D130" t="str">
        <f t="shared" ref="D130:D163" si="2">A130&amp;"-"&amp;B130&amp;"-"&amp;C130</f>
        <v>7-A-3</v>
      </c>
      <c r="H130">
        <v>1</v>
      </c>
      <c r="J130" s="57">
        <v>1</v>
      </c>
    </row>
    <row r="131" spans="1:16" hidden="1">
      <c r="A131">
        <v>7</v>
      </c>
      <c r="B131" t="s">
        <v>8</v>
      </c>
      <c r="C131">
        <v>1</v>
      </c>
      <c r="D131" t="str">
        <f t="shared" si="2"/>
        <v>7-C-1</v>
      </c>
      <c r="F131">
        <v>1</v>
      </c>
      <c r="P131" s="26">
        <v>1</v>
      </c>
    </row>
    <row r="132" spans="1:16">
      <c r="A132">
        <v>7</v>
      </c>
      <c r="B132" t="s">
        <v>8</v>
      </c>
      <c r="C132">
        <v>2</v>
      </c>
      <c r="D132" t="str">
        <f t="shared" si="2"/>
        <v>7-C-2</v>
      </c>
      <c r="H132">
        <v>1</v>
      </c>
      <c r="J132" s="57">
        <v>1</v>
      </c>
    </row>
    <row r="133" spans="1:16" hidden="1">
      <c r="A133">
        <v>7</v>
      </c>
      <c r="B133" t="s">
        <v>8</v>
      </c>
      <c r="C133">
        <v>3</v>
      </c>
      <c r="D133" t="str">
        <f t="shared" si="2"/>
        <v>7-C-3</v>
      </c>
      <c r="F133">
        <v>1</v>
      </c>
      <c r="P133" s="26">
        <v>1</v>
      </c>
    </row>
    <row r="134" spans="1:16">
      <c r="A134">
        <v>7</v>
      </c>
      <c r="B134" t="s">
        <v>9</v>
      </c>
      <c r="C134">
        <v>1</v>
      </c>
      <c r="D134" t="str">
        <f t="shared" si="2"/>
        <v>7-D-1</v>
      </c>
      <c r="H134">
        <v>1</v>
      </c>
      <c r="I134" s="57">
        <v>1</v>
      </c>
    </row>
    <row r="135" spans="1:16">
      <c r="A135">
        <v>7</v>
      </c>
      <c r="B135" t="s">
        <v>9</v>
      </c>
      <c r="C135">
        <v>2</v>
      </c>
      <c r="D135" t="str">
        <f t="shared" si="2"/>
        <v>7-D-2</v>
      </c>
      <c r="H135">
        <v>1</v>
      </c>
      <c r="I135" s="57">
        <v>1</v>
      </c>
    </row>
    <row r="136" spans="1:16">
      <c r="A136">
        <v>7</v>
      </c>
      <c r="B136" t="s">
        <v>9</v>
      </c>
      <c r="C136">
        <v>3</v>
      </c>
      <c r="D136" t="str">
        <f t="shared" si="2"/>
        <v>7-D-3</v>
      </c>
      <c r="H136">
        <v>1</v>
      </c>
      <c r="I136" s="57">
        <v>1</v>
      </c>
    </row>
    <row r="137" spans="1:16">
      <c r="A137">
        <v>7</v>
      </c>
      <c r="B137" t="s">
        <v>11</v>
      </c>
      <c r="C137">
        <v>1</v>
      </c>
      <c r="D137" t="str">
        <f t="shared" si="2"/>
        <v>7-F-1</v>
      </c>
      <c r="H137">
        <v>1</v>
      </c>
      <c r="I137" s="57">
        <v>1</v>
      </c>
    </row>
    <row r="138" spans="1:16">
      <c r="A138">
        <v>7</v>
      </c>
      <c r="B138" t="s">
        <v>11</v>
      </c>
      <c r="C138">
        <v>2</v>
      </c>
      <c r="D138" t="str">
        <f t="shared" si="2"/>
        <v>7-F-2</v>
      </c>
      <c r="H138">
        <v>1</v>
      </c>
      <c r="I138" s="57">
        <v>1</v>
      </c>
    </row>
    <row r="139" spans="1:16">
      <c r="A139">
        <v>7</v>
      </c>
      <c r="B139" t="s">
        <v>11</v>
      </c>
      <c r="C139">
        <v>3</v>
      </c>
      <c r="D139" t="str">
        <f t="shared" si="2"/>
        <v>7-F-3</v>
      </c>
      <c r="H139">
        <v>1</v>
      </c>
      <c r="I139" s="57">
        <v>1</v>
      </c>
    </row>
    <row r="140" spans="1:16" hidden="1">
      <c r="A140">
        <v>7</v>
      </c>
      <c r="B140" t="s">
        <v>12</v>
      </c>
      <c r="C140">
        <v>1</v>
      </c>
      <c r="D140" t="str">
        <f t="shared" si="2"/>
        <v>7-G-1</v>
      </c>
      <c r="F140">
        <v>1</v>
      </c>
      <c r="P140" s="26">
        <v>1</v>
      </c>
    </row>
    <row r="141" spans="1:16">
      <c r="A141">
        <v>7</v>
      </c>
      <c r="B141" t="s">
        <v>12</v>
      </c>
      <c r="C141">
        <v>2</v>
      </c>
      <c r="D141" t="str">
        <f t="shared" si="2"/>
        <v>7-G-2</v>
      </c>
      <c r="H141">
        <v>1</v>
      </c>
      <c r="I141" s="57">
        <v>1</v>
      </c>
    </row>
    <row r="142" spans="1:16">
      <c r="A142">
        <v>7</v>
      </c>
      <c r="B142" t="s">
        <v>12</v>
      </c>
      <c r="C142">
        <v>3</v>
      </c>
      <c r="D142" t="str">
        <f t="shared" si="2"/>
        <v>7-G-3</v>
      </c>
      <c r="H142">
        <v>1</v>
      </c>
      <c r="J142" s="57">
        <v>1</v>
      </c>
    </row>
    <row r="143" spans="1:16" hidden="1">
      <c r="A143">
        <v>7</v>
      </c>
      <c r="B143" t="s">
        <v>14</v>
      </c>
      <c r="C143">
        <v>1</v>
      </c>
      <c r="D143" t="str">
        <f t="shared" si="2"/>
        <v>7-I-1</v>
      </c>
      <c r="F143">
        <v>1</v>
      </c>
      <c r="P143" s="26">
        <v>1</v>
      </c>
    </row>
    <row r="144" spans="1:16">
      <c r="A144">
        <v>7</v>
      </c>
      <c r="B144" t="s">
        <v>14</v>
      </c>
      <c r="C144">
        <v>2</v>
      </c>
      <c r="D144" t="str">
        <f t="shared" si="2"/>
        <v>7-I-2</v>
      </c>
      <c r="H144">
        <v>1</v>
      </c>
      <c r="I144" s="57">
        <v>1</v>
      </c>
    </row>
    <row r="145" spans="1:17">
      <c r="A145">
        <v>7</v>
      </c>
      <c r="B145" t="s">
        <v>14</v>
      </c>
      <c r="C145">
        <v>3</v>
      </c>
      <c r="D145" t="str">
        <f t="shared" si="2"/>
        <v>7-I-3</v>
      </c>
      <c r="H145">
        <v>1</v>
      </c>
      <c r="N145" s="58">
        <v>1</v>
      </c>
    </row>
    <row r="146" spans="1:17">
      <c r="A146">
        <v>8</v>
      </c>
      <c r="B146" t="s">
        <v>6</v>
      </c>
      <c r="C146">
        <v>1</v>
      </c>
      <c r="D146" t="str">
        <f t="shared" si="2"/>
        <v>8-A-1</v>
      </c>
      <c r="H146">
        <v>1</v>
      </c>
      <c r="I146" s="57">
        <v>1</v>
      </c>
    </row>
    <row r="147" spans="1:17">
      <c r="A147">
        <v>8</v>
      </c>
      <c r="B147" t="s">
        <v>6</v>
      </c>
      <c r="C147">
        <v>2</v>
      </c>
      <c r="D147" t="str">
        <f t="shared" si="2"/>
        <v>8-A-2</v>
      </c>
      <c r="H147">
        <v>1</v>
      </c>
      <c r="I147" s="57">
        <v>1</v>
      </c>
    </row>
    <row r="148" spans="1:17" hidden="1">
      <c r="A148">
        <v>8</v>
      </c>
      <c r="B148" t="s">
        <v>6</v>
      </c>
      <c r="C148">
        <v>3</v>
      </c>
      <c r="D148" t="str">
        <f t="shared" si="2"/>
        <v>8-A-3</v>
      </c>
      <c r="F148">
        <v>1</v>
      </c>
      <c r="P148" s="26">
        <v>1</v>
      </c>
    </row>
    <row r="149" spans="1:17">
      <c r="A149">
        <v>8</v>
      </c>
      <c r="B149" t="s">
        <v>8</v>
      </c>
      <c r="C149">
        <v>1</v>
      </c>
      <c r="D149" t="str">
        <f t="shared" si="2"/>
        <v>8-C-1</v>
      </c>
      <c r="H149">
        <v>1</v>
      </c>
      <c r="I149" s="57">
        <v>1</v>
      </c>
    </row>
    <row r="150" spans="1:17" hidden="1">
      <c r="A150">
        <v>8</v>
      </c>
      <c r="B150" t="s">
        <v>8</v>
      </c>
      <c r="C150">
        <v>2</v>
      </c>
      <c r="D150" t="str">
        <f t="shared" si="2"/>
        <v>8-C-2</v>
      </c>
      <c r="E150">
        <v>1</v>
      </c>
    </row>
    <row r="151" spans="1:17">
      <c r="A151">
        <v>8</v>
      </c>
      <c r="B151" t="s">
        <v>8</v>
      </c>
      <c r="C151">
        <v>3</v>
      </c>
      <c r="D151" t="str">
        <f t="shared" si="2"/>
        <v>8-C-3</v>
      </c>
      <c r="H151">
        <v>1</v>
      </c>
      <c r="I151" s="57">
        <v>1</v>
      </c>
    </row>
    <row r="152" spans="1:17">
      <c r="A152">
        <v>8</v>
      </c>
      <c r="B152" t="s">
        <v>9</v>
      </c>
      <c r="C152">
        <v>1</v>
      </c>
      <c r="D152" t="str">
        <f t="shared" si="2"/>
        <v>8-D-1</v>
      </c>
      <c r="H152">
        <v>1</v>
      </c>
      <c r="J152" s="57">
        <v>1</v>
      </c>
    </row>
    <row r="153" spans="1:17" hidden="1">
      <c r="A153">
        <v>8</v>
      </c>
      <c r="B153" t="s">
        <v>9</v>
      </c>
      <c r="C153">
        <v>2</v>
      </c>
      <c r="D153" t="str">
        <f t="shared" si="2"/>
        <v>8-D-2</v>
      </c>
      <c r="F153">
        <v>1</v>
      </c>
      <c r="P153" s="26">
        <v>1</v>
      </c>
    </row>
    <row r="154" spans="1:17" hidden="1">
      <c r="A154">
        <v>8</v>
      </c>
      <c r="B154" t="s">
        <v>9</v>
      </c>
      <c r="C154">
        <v>3</v>
      </c>
      <c r="D154" t="str">
        <f t="shared" si="2"/>
        <v>8-D-3</v>
      </c>
      <c r="F154">
        <v>1</v>
      </c>
      <c r="P154" s="26">
        <v>1</v>
      </c>
    </row>
    <row r="155" spans="1:17" hidden="1">
      <c r="A155">
        <v>8</v>
      </c>
      <c r="B155" t="s">
        <v>11</v>
      </c>
      <c r="C155">
        <v>1</v>
      </c>
      <c r="D155" t="str">
        <f t="shared" si="2"/>
        <v>8-F-1</v>
      </c>
      <c r="F155">
        <v>1</v>
      </c>
      <c r="P155" s="26">
        <v>1</v>
      </c>
    </row>
    <row r="156" spans="1:17" hidden="1">
      <c r="A156">
        <v>8</v>
      </c>
      <c r="B156" t="s">
        <v>11</v>
      </c>
      <c r="C156">
        <v>2</v>
      </c>
      <c r="D156" t="str">
        <f t="shared" si="2"/>
        <v>8-F-2</v>
      </c>
      <c r="F156">
        <v>1</v>
      </c>
      <c r="P156" s="26">
        <v>1</v>
      </c>
    </row>
    <row r="157" spans="1:17" hidden="1">
      <c r="A157">
        <v>8</v>
      </c>
      <c r="B157" t="s">
        <v>11</v>
      </c>
      <c r="C157">
        <v>3</v>
      </c>
      <c r="D157" t="str">
        <f t="shared" si="2"/>
        <v>8-F-3</v>
      </c>
      <c r="F157">
        <v>1</v>
      </c>
      <c r="P157" s="26">
        <v>1</v>
      </c>
    </row>
    <row r="158" spans="1:17" hidden="1">
      <c r="A158">
        <v>8</v>
      </c>
      <c r="B158" t="s">
        <v>12</v>
      </c>
      <c r="C158">
        <v>1</v>
      </c>
      <c r="D158" t="str">
        <f t="shared" si="2"/>
        <v>8-G-1</v>
      </c>
      <c r="F158">
        <v>1</v>
      </c>
      <c r="Q158" s="26">
        <v>1</v>
      </c>
    </row>
    <row r="159" spans="1:17" hidden="1">
      <c r="A159">
        <v>8</v>
      </c>
      <c r="B159" t="s">
        <v>12</v>
      </c>
      <c r="C159">
        <v>2</v>
      </c>
      <c r="D159" t="str">
        <f t="shared" si="2"/>
        <v>8-G-2</v>
      </c>
      <c r="F159">
        <v>1</v>
      </c>
      <c r="Q159" s="26">
        <v>1</v>
      </c>
    </row>
    <row r="160" spans="1:17" hidden="1">
      <c r="A160">
        <v>8</v>
      </c>
      <c r="B160" t="s">
        <v>12</v>
      </c>
      <c r="C160">
        <v>3</v>
      </c>
      <c r="D160" t="str">
        <f t="shared" si="2"/>
        <v>8-G-3</v>
      </c>
      <c r="F160">
        <v>1</v>
      </c>
      <c r="Q160" s="26">
        <v>1</v>
      </c>
    </row>
    <row r="161" spans="1:17" hidden="1">
      <c r="A161">
        <v>8</v>
      </c>
      <c r="B161" t="s">
        <v>14</v>
      </c>
      <c r="C161">
        <v>1</v>
      </c>
      <c r="D161" t="str">
        <f t="shared" si="2"/>
        <v>8-I-1</v>
      </c>
      <c r="E161">
        <v>1</v>
      </c>
    </row>
    <row r="162" spans="1:17" hidden="1">
      <c r="A162">
        <v>8</v>
      </c>
      <c r="B162" t="s">
        <v>14</v>
      </c>
      <c r="C162">
        <v>2</v>
      </c>
      <c r="D162" t="str">
        <f t="shared" si="2"/>
        <v>8-I-2</v>
      </c>
      <c r="E162">
        <v>1</v>
      </c>
    </row>
    <row r="163" spans="1:17" hidden="1">
      <c r="A163">
        <v>8</v>
      </c>
      <c r="B163" t="s">
        <v>14</v>
      </c>
      <c r="C163">
        <v>3</v>
      </c>
      <c r="D163" t="str">
        <f t="shared" si="2"/>
        <v>8-I-3</v>
      </c>
      <c r="F163">
        <v>1</v>
      </c>
      <c r="Q163" s="26">
        <v>1</v>
      </c>
    </row>
    <row r="164" spans="1:17" hidden="1">
      <c r="A164" t="s">
        <v>37</v>
      </c>
      <c r="B164" t="s">
        <v>37</v>
      </c>
      <c r="C164" t="s">
        <v>37</v>
      </c>
      <c r="D164" t="s">
        <v>37</v>
      </c>
      <c r="E164">
        <f>SUM(E2:E163)</f>
        <v>25</v>
      </c>
      <c r="F164">
        <f t="shared" ref="F164:Q164" si="3">SUM(F2:F163)</f>
        <v>40</v>
      </c>
      <c r="G164">
        <f t="shared" si="3"/>
        <v>0</v>
      </c>
      <c r="H164">
        <f t="shared" si="3"/>
        <v>97</v>
      </c>
      <c r="I164" s="57">
        <f t="shared" ref="I164:O164" si="4">SUM(I2:I163)</f>
        <v>70</v>
      </c>
      <c r="J164" s="57">
        <f t="shared" si="4"/>
        <v>10</v>
      </c>
      <c r="K164" s="57">
        <f t="shared" si="4"/>
        <v>2</v>
      </c>
      <c r="L164" s="54">
        <f t="shared" si="4"/>
        <v>1</v>
      </c>
      <c r="M164" s="54">
        <f t="shared" si="4"/>
        <v>0</v>
      </c>
      <c r="N164" s="58">
        <f t="shared" si="4"/>
        <v>14</v>
      </c>
      <c r="O164" s="56">
        <f t="shared" si="4"/>
        <v>0</v>
      </c>
      <c r="P164" s="26">
        <f t="shared" si="3"/>
        <v>34</v>
      </c>
      <c r="Q164" s="26">
        <f t="shared" si="3"/>
        <v>6</v>
      </c>
    </row>
  </sheetData>
  <autoFilter ref="A1:Q164" xr:uid="{BB563E77-EE44-42B3-ACD0-800B48D3E7DF}">
    <filterColumn colId="7">
      <filters>
        <filter val="1"/>
      </filters>
    </filterColumn>
  </autoFilter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D6A5F-9720-4325-A448-01CB91CFC6AF}">
  <sheetPr>
    <tabColor theme="7" tint="-0.249977111117893"/>
  </sheetPr>
  <dimension ref="A1:P19"/>
  <sheetViews>
    <sheetView workbookViewId="0">
      <selection activeCell="N2" sqref="N2"/>
    </sheetView>
  </sheetViews>
  <sheetFormatPr defaultRowHeight="14.25"/>
  <cols>
    <col min="3" max="3" width="12.75" customWidth="1"/>
    <col min="4" max="4" width="17.5" customWidth="1"/>
    <col min="5" max="5" width="6.25" bestFit="1" customWidth="1"/>
    <col min="6" max="6" width="20.25" bestFit="1" customWidth="1"/>
    <col min="7" max="7" width="19.125" bestFit="1" customWidth="1"/>
    <col min="8" max="8" width="15.625" customWidth="1"/>
    <col min="9" max="10" width="18.25" customWidth="1"/>
    <col min="14" max="14" width="19.125" bestFit="1" customWidth="1"/>
    <col min="16" max="16" width="16" style="8" customWidth="1"/>
  </cols>
  <sheetData>
    <row r="1" spans="1:16">
      <c r="A1" s="24" t="s">
        <v>4</v>
      </c>
      <c r="B1" s="24" t="s">
        <v>0</v>
      </c>
      <c r="C1" s="24" t="s">
        <v>16</v>
      </c>
      <c r="D1" s="24" t="s">
        <v>21</v>
      </c>
      <c r="E1" s="24" t="s">
        <v>17</v>
      </c>
      <c r="F1" s="24" t="s">
        <v>69</v>
      </c>
      <c r="G1" s="24" t="s">
        <v>1</v>
      </c>
      <c r="H1" s="24" t="s">
        <v>20</v>
      </c>
      <c r="I1" s="24" t="s">
        <v>62</v>
      </c>
      <c r="J1" s="24" t="s">
        <v>2</v>
      </c>
      <c r="K1" s="24" t="s">
        <v>18</v>
      </c>
      <c r="L1" s="24" t="s">
        <v>23</v>
      </c>
      <c r="M1" s="24" t="s">
        <v>19</v>
      </c>
      <c r="N1" s="24" t="s">
        <v>70</v>
      </c>
      <c r="O1" s="24" t="s">
        <v>33</v>
      </c>
      <c r="P1" s="25" t="s">
        <v>34</v>
      </c>
    </row>
    <row r="2" spans="1:16">
      <c r="A2">
        <v>1</v>
      </c>
      <c r="B2">
        <f>SUMIF(result_20260605!$A:$A,sum_orient_20260605!$A2,INDEX(result_20260605!$A:$Z,0,MATCH(sum_orient_20260605!B$1,result_20260605!$1:$1,0)))</f>
        <v>15</v>
      </c>
      <c r="C2">
        <f>SUMIF(result_20260605!$A:$A,sum_orient_20260605!$A2,INDEX(result_20260605!$A:$Z,0,MATCH(sum_orient_20260605!C$1,result_20260605!$1:$1,0)))</f>
        <v>1</v>
      </c>
      <c r="D2">
        <f>SUMIF(result_20260605!$A:$A,sum_orient_20260605!$A2,INDEX(result_20260605!$A:$Z,0,MATCH(sum_orient_20260605!D$1,result_20260605!$1:$1,0)))</f>
        <v>0</v>
      </c>
      <c r="E2">
        <f>SUMIF(result_20260605!$A:$A,sum_orient_20260605!$A2,INDEX(result_20260605!$A:$Z,0,MATCH(sum_orient_20260605!E$1,result_20260605!$1:$1,0)))</f>
        <v>11</v>
      </c>
      <c r="F2">
        <f>SUMIF(result_20260605!$A:$A,sum_orient_20260605!$A2,INDEX(result_20260605!$A:$Z,0,MATCH(sum_orient_20260605!F$1,result_20260605!$1:$1,0)))</f>
        <v>0</v>
      </c>
      <c r="G2">
        <f>SUMIF(result_20260605!$A:$A,sum_orient_20260605!$A2,INDEX(result_20260605!$A:$Z,0,MATCH(sum_orient_20260605!G$1,result_20260605!$1:$1,0)))</f>
        <v>0</v>
      </c>
      <c r="H2">
        <f>SUMIF(result_20260605!$A:$A,sum_orient_20260605!$A2,INDEX(result_20260605!$A:$Z,0,MATCH(sum_orient_20260605!H$1,result_20260605!$1:$1,0)))</f>
        <v>0</v>
      </c>
      <c r="I2">
        <f>SUMIF(result_20260605!$A:$A,sum_orient_20260605!$A2,INDEX(result_20260605!$A:$Z,0,MATCH(sum_orient_20260605!I$1,result_20260605!$1:$1,0)))</f>
        <v>9</v>
      </c>
      <c r="J2">
        <f>SUMIF(result_20260605!$A:$A,sum_orient_20260605!$A2,INDEX(result_20260605!$A:$Z,0,MATCH(sum_orient_20260605!J$1,result_20260605!$1:$1,0)))</f>
        <v>0</v>
      </c>
      <c r="K2">
        <f>SUMIF(result_20260605!$A:$A,sum_orient_20260605!$A2,INDEX(result_20260605!$A:$Z,0,MATCH(sum_orient_20260605!K$1,result_20260605!$1:$1,0)))</f>
        <v>0</v>
      </c>
      <c r="L2">
        <f>SUMIF(result_20260605!$A:$A,sum_orient_20260605!$A2,INDEX(result_20260605!$A:$Z,0,MATCH(sum_orient_20260605!L$1,result_20260605!$1:$1,0)))</f>
        <v>0</v>
      </c>
      <c r="M2">
        <f>SUMIF(result_20260605!$A:$A,sum_orient_20260605!$A2,INDEX(result_20260605!$A:$Z,0,MATCH(sum_orient_20260605!M$1,result_20260605!$1:$1,0)))</f>
        <v>2</v>
      </c>
      <c r="N2">
        <f>SUMIF(result_20260605!$A:$A,sum_orient_20260605!$A2,INDEX(result_20260605!$A:$Z,0,MATCH(sum_orient_20260605!N$1,result_20260605!$1:$1,0)))</f>
        <v>1</v>
      </c>
      <c r="O2">
        <f>SUM(B2:E2)</f>
        <v>27</v>
      </c>
      <c r="P2" s="8">
        <f>SUM(B2+C2)/O2</f>
        <v>0.59259259259259256</v>
      </c>
    </row>
    <row r="3" spans="1:16">
      <c r="A3">
        <v>2</v>
      </c>
      <c r="B3">
        <f>SUMIF(result_20260605!$A:$A,sum_orient_20260605!$A3,INDEX(result_20260605!$A:$Z,0,MATCH(sum_orient_20260605!B$1,result_20260605!$1:$1,0)))</f>
        <v>0</v>
      </c>
      <c r="C3">
        <f>SUMIF(result_20260605!$A:$A,sum_orient_20260605!$A3,INDEX(result_20260605!$A:$Z,0,MATCH(sum_orient_20260605!C$1,result_20260605!$1:$1,0)))</f>
        <v>2</v>
      </c>
      <c r="D3">
        <f>SUMIF(result_20260605!$A:$A,sum_orient_20260605!$A3,INDEX(result_20260605!$A:$Z,0,MATCH(sum_orient_20260605!D$1,result_20260605!$1:$1,0)))</f>
        <v>0</v>
      </c>
      <c r="E3">
        <f>SUMIF(result_20260605!$A:$A,sum_orient_20260605!$A3,INDEX(result_20260605!$A:$Z,0,MATCH(sum_orient_20260605!E$1,result_20260605!$1:$1,0)))</f>
        <v>25</v>
      </c>
      <c r="F3">
        <f>SUMIF(result_20260605!$A:$A,sum_orient_20260605!$A3,INDEX(result_20260605!$A:$Z,0,MATCH(sum_orient_20260605!F$1,result_20260605!$1:$1,0)))</f>
        <v>2</v>
      </c>
      <c r="G3">
        <f>SUMIF(result_20260605!$A:$A,sum_orient_20260605!$A3,INDEX(result_20260605!$A:$Z,0,MATCH(sum_orient_20260605!G$1,result_20260605!$1:$1,0)))</f>
        <v>0</v>
      </c>
      <c r="H3">
        <f>SUMIF(result_20260605!$A:$A,sum_orient_20260605!$A3,INDEX(result_20260605!$A:$Z,0,MATCH(sum_orient_20260605!H$1,result_20260605!$1:$1,0)))</f>
        <v>0</v>
      </c>
      <c r="I3">
        <f>SUMIF(result_20260605!$A:$A,sum_orient_20260605!$A3,INDEX(result_20260605!$A:$Z,0,MATCH(sum_orient_20260605!I$1,result_20260605!$1:$1,0)))</f>
        <v>22</v>
      </c>
      <c r="J3">
        <f>SUMIF(result_20260605!$A:$A,sum_orient_20260605!$A3,INDEX(result_20260605!$A:$Z,0,MATCH(sum_orient_20260605!J$1,result_20260605!$1:$1,0)))</f>
        <v>0</v>
      </c>
      <c r="K3">
        <f>SUMIF(result_20260605!$A:$A,sum_orient_20260605!$A3,INDEX(result_20260605!$A:$Z,0,MATCH(sum_orient_20260605!K$1,result_20260605!$1:$1,0)))</f>
        <v>0</v>
      </c>
      <c r="L3">
        <f>SUMIF(result_20260605!$A:$A,sum_orient_20260605!$A3,INDEX(result_20260605!$A:$Z,0,MATCH(sum_orient_20260605!L$1,result_20260605!$1:$1,0)))</f>
        <v>0</v>
      </c>
      <c r="M3">
        <f>SUMIF(result_20260605!$A:$A,sum_orient_20260605!$A3,INDEX(result_20260605!$A:$Z,0,MATCH(sum_orient_20260605!M$1,result_20260605!$1:$1,0)))</f>
        <v>3</v>
      </c>
      <c r="N3">
        <f>SUMIF(result_20260605!$A:$A,sum_orient_20260605!$A3,INDEX(result_20260605!$A:$Z,0,MATCH(sum_orient_20260605!N$1,result_20260605!$1:$1,0)))</f>
        <v>0</v>
      </c>
      <c r="O3">
        <f t="shared" ref="O3:O9" si="0">SUM(B3:E3)</f>
        <v>27</v>
      </c>
      <c r="P3" s="8">
        <f t="shared" ref="P3:P10" si="1">SUM(B3+C3)/O3</f>
        <v>7.407407407407407E-2</v>
      </c>
    </row>
    <row r="4" spans="1:16">
      <c r="A4">
        <v>3</v>
      </c>
      <c r="B4">
        <f>SUMIF(result_20260605!$A:$A,sum_orient_20260605!$A4,INDEX(result_20260605!$A:$Z,0,MATCH(sum_orient_20260605!B$1,result_20260605!$1:$1,0)))</f>
        <v>0</v>
      </c>
      <c r="C4">
        <f>SUMIF(result_20260605!$A:$A,sum_orient_20260605!$A4,INDEX(result_20260605!$A:$Z,0,MATCH(sum_orient_20260605!C$1,result_20260605!$1:$1,0)))</f>
        <v>0</v>
      </c>
      <c r="D4">
        <f>SUMIF(result_20260605!$A:$A,sum_orient_20260605!$A4,INDEX(result_20260605!$A:$Z,0,MATCH(sum_orient_20260605!D$1,result_20260605!$1:$1,0)))</f>
        <v>0</v>
      </c>
      <c r="E4">
        <f>SUMIF(result_20260605!$A:$A,sum_orient_20260605!$A4,INDEX(result_20260605!$A:$Z,0,MATCH(sum_orient_20260605!E$1,result_20260605!$1:$1,0)))</f>
        <v>18</v>
      </c>
      <c r="F4">
        <f>SUMIF(result_20260605!$A:$A,sum_orient_20260605!$A4,INDEX(result_20260605!$A:$Z,0,MATCH(sum_orient_20260605!F$1,result_20260605!$1:$1,0)))</f>
        <v>0</v>
      </c>
      <c r="G4">
        <f>SUMIF(result_20260605!$A:$A,sum_orient_20260605!$A4,INDEX(result_20260605!$A:$Z,0,MATCH(sum_orient_20260605!G$1,result_20260605!$1:$1,0)))</f>
        <v>1</v>
      </c>
      <c r="H4">
        <f>SUMIF(result_20260605!$A:$A,sum_orient_20260605!$A4,INDEX(result_20260605!$A:$Z,0,MATCH(sum_orient_20260605!H$1,result_20260605!$1:$1,0)))</f>
        <v>0</v>
      </c>
      <c r="I4">
        <f>SUMIF(result_20260605!$A:$A,sum_orient_20260605!$A4,INDEX(result_20260605!$A:$Z,0,MATCH(sum_orient_20260605!I$1,result_20260605!$1:$1,0)))</f>
        <v>5</v>
      </c>
      <c r="J4">
        <f>SUMIF(result_20260605!$A:$A,sum_orient_20260605!$A4,INDEX(result_20260605!$A:$Z,0,MATCH(sum_orient_20260605!J$1,result_20260605!$1:$1,0)))</f>
        <v>0</v>
      </c>
      <c r="K4">
        <f>SUMIF(result_20260605!$A:$A,sum_orient_20260605!$A4,INDEX(result_20260605!$A:$Z,0,MATCH(sum_orient_20260605!K$1,result_20260605!$1:$1,0)))</f>
        <v>0</v>
      </c>
      <c r="L4">
        <f>SUMIF(result_20260605!$A:$A,sum_orient_20260605!$A4,INDEX(result_20260605!$A:$Z,0,MATCH(sum_orient_20260605!L$1,result_20260605!$1:$1,0)))</f>
        <v>12</v>
      </c>
      <c r="M4">
        <f>SUMIF(result_20260605!$A:$A,sum_orient_20260605!$A4,INDEX(result_20260605!$A:$Z,0,MATCH(sum_orient_20260605!M$1,result_20260605!$1:$1,0)))</f>
        <v>0</v>
      </c>
      <c r="N4">
        <f>SUMIF(result_20260605!$A:$A,sum_orient_20260605!$A4,INDEX(result_20260605!$A:$Z,0,MATCH(sum_orient_20260605!N$1,result_20260605!$1:$1,0)))</f>
        <v>0</v>
      </c>
      <c r="O4">
        <f t="shared" si="0"/>
        <v>18</v>
      </c>
      <c r="P4" s="8">
        <f t="shared" si="1"/>
        <v>0</v>
      </c>
    </row>
    <row r="5" spans="1:16">
      <c r="A5">
        <v>4</v>
      </c>
      <c r="B5">
        <f>SUMIF(result_20260605!$A:$A,sum_orient_20260605!$A5,INDEX(result_20260605!$A:$Z,0,MATCH(sum_orient_20260605!B$1,result_20260605!$1:$1,0)))</f>
        <v>1</v>
      </c>
      <c r="C5">
        <f>SUMIF(result_20260605!$A:$A,sum_orient_20260605!$A5,INDEX(result_20260605!$A:$Z,0,MATCH(sum_orient_20260605!C$1,result_20260605!$1:$1,0)))</f>
        <v>15</v>
      </c>
      <c r="D5">
        <f>SUMIF(result_20260605!$A:$A,sum_orient_20260605!$A5,INDEX(result_20260605!$A:$Z,0,MATCH(sum_orient_20260605!D$1,result_20260605!$1:$1,0)))</f>
        <v>0</v>
      </c>
      <c r="E5">
        <f>SUMIF(result_20260605!$A:$A,sum_orient_20260605!$A5,INDEX(result_20260605!$A:$Z,0,MATCH(sum_orient_20260605!E$1,result_20260605!$1:$1,0)))</f>
        <v>2</v>
      </c>
      <c r="F5">
        <f>SUMIF(result_20260605!$A:$A,sum_orient_20260605!$A5,INDEX(result_20260605!$A:$Z,0,MATCH(sum_orient_20260605!F$1,result_20260605!$1:$1,0)))</f>
        <v>14</v>
      </c>
      <c r="G5">
        <f>SUMIF(result_20260605!$A:$A,sum_orient_20260605!$A5,INDEX(result_20260605!$A:$Z,0,MATCH(sum_orient_20260605!G$1,result_20260605!$1:$1,0)))</f>
        <v>0</v>
      </c>
      <c r="H5">
        <f>SUMIF(result_20260605!$A:$A,sum_orient_20260605!$A5,INDEX(result_20260605!$A:$Z,0,MATCH(sum_orient_20260605!H$1,result_20260605!$1:$1,0)))</f>
        <v>0</v>
      </c>
      <c r="I5">
        <f>SUMIF(result_20260605!$A:$A,sum_orient_20260605!$A5,INDEX(result_20260605!$A:$Z,0,MATCH(sum_orient_20260605!I$1,result_20260605!$1:$1,0)))</f>
        <v>0</v>
      </c>
      <c r="J5">
        <f>SUMIF(result_20260605!$A:$A,sum_orient_20260605!$A5,INDEX(result_20260605!$A:$Z,0,MATCH(sum_orient_20260605!J$1,result_20260605!$1:$1,0)))</f>
        <v>2</v>
      </c>
      <c r="K5">
        <f>SUMIF(result_20260605!$A:$A,sum_orient_20260605!$A5,INDEX(result_20260605!$A:$Z,0,MATCH(sum_orient_20260605!K$1,result_20260605!$1:$1,0)))</f>
        <v>0</v>
      </c>
      <c r="L5">
        <f>SUMIF(result_20260605!$A:$A,sum_orient_20260605!$A5,INDEX(result_20260605!$A:$Z,0,MATCH(sum_orient_20260605!L$1,result_20260605!$1:$1,0)))</f>
        <v>0</v>
      </c>
      <c r="M5">
        <f>SUMIF(result_20260605!$A:$A,sum_orient_20260605!$A5,INDEX(result_20260605!$A:$Z,0,MATCH(sum_orient_20260605!M$1,result_20260605!$1:$1,0)))</f>
        <v>0</v>
      </c>
      <c r="N5">
        <f>SUMIF(result_20260605!$A:$A,sum_orient_20260605!$A5,INDEX(result_20260605!$A:$Z,0,MATCH(sum_orient_20260605!N$1,result_20260605!$1:$1,0)))</f>
        <v>1</v>
      </c>
      <c r="O5">
        <f t="shared" si="0"/>
        <v>18</v>
      </c>
      <c r="P5" s="8">
        <f t="shared" si="1"/>
        <v>0.88888888888888884</v>
      </c>
    </row>
    <row r="6" spans="1:16">
      <c r="A6">
        <v>5</v>
      </c>
      <c r="B6">
        <f>SUMIF(result_20260605!$A:$A,sum_orient_20260605!$A6,INDEX(result_20260605!$A:$Z,0,MATCH(sum_orient_20260605!B$1,result_20260605!$1:$1,0)))</f>
        <v>6</v>
      </c>
      <c r="C6">
        <f>SUMIF(result_20260605!$A:$A,sum_orient_20260605!$A6,INDEX(result_20260605!$A:$Z,0,MATCH(sum_orient_20260605!C$1,result_20260605!$1:$1,0)))</f>
        <v>1</v>
      </c>
      <c r="D6">
        <f>SUMIF(result_20260605!$A:$A,sum_orient_20260605!$A6,INDEX(result_20260605!$A:$Z,0,MATCH(sum_orient_20260605!D$1,result_20260605!$1:$1,0)))</f>
        <v>0</v>
      </c>
      <c r="E6">
        <f>SUMIF(result_20260605!$A:$A,sum_orient_20260605!$A6,INDEX(result_20260605!$A:$Z,0,MATCH(sum_orient_20260605!E$1,result_20260605!$1:$1,0)))</f>
        <v>11</v>
      </c>
      <c r="F6">
        <f>SUMIF(result_20260605!$A:$A,sum_orient_20260605!$A6,INDEX(result_20260605!$A:$Z,0,MATCH(sum_orient_20260605!F$1,result_20260605!$1:$1,0)))</f>
        <v>1</v>
      </c>
      <c r="G6">
        <f>SUMIF(result_20260605!$A:$A,sum_orient_20260605!$A6,INDEX(result_20260605!$A:$Z,0,MATCH(sum_orient_20260605!G$1,result_20260605!$1:$1,0)))</f>
        <v>0</v>
      </c>
      <c r="H6">
        <f>SUMIF(result_20260605!$A:$A,sum_orient_20260605!$A6,INDEX(result_20260605!$A:$Z,0,MATCH(sum_orient_20260605!H$1,result_20260605!$1:$1,0)))</f>
        <v>0</v>
      </c>
      <c r="I6">
        <f>SUMIF(result_20260605!$A:$A,sum_orient_20260605!$A6,INDEX(result_20260605!$A:$Z,0,MATCH(sum_orient_20260605!I$1,result_20260605!$1:$1,0)))</f>
        <v>10</v>
      </c>
      <c r="J6">
        <f>SUMIF(result_20260605!$A:$A,sum_orient_20260605!$A6,INDEX(result_20260605!$A:$Z,0,MATCH(sum_orient_20260605!J$1,result_20260605!$1:$1,0)))</f>
        <v>0</v>
      </c>
      <c r="K6">
        <f>SUMIF(result_20260605!$A:$A,sum_orient_20260605!$A6,INDEX(result_20260605!$A:$Z,0,MATCH(sum_orient_20260605!K$1,result_20260605!$1:$1,0)))</f>
        <v>0</v>
      </c>
      <c r="L6">
        <f>SUMIF(result_20260605!$A:$A,sum_orient_20260605!$A6,INDEX(result_20260605!$A:$Z,0,MATCH(sum_orient_20260605!L$1,result_20260605!$1:$1,0)))</f>
        <v>1</v>
      </c>
      <c r="M6">
        <f>SUMIF(result_20260605!$A:$A,sum_orient_20260605!$A6,INDEX(result_20260605!$A:$Z,0,MATCH(sum_orient_20260605!M$1,result_20260605!$1:$1,0)))</f>
        <v>0</v>
      </c>
      <c r="N6">
        <f>SUMIF(result_20260605!$A:$A,sum_orient_20260605!$A6,INDEX(result_20260605!$A:$Z,0,MATCH(sum_orient_20260605!N$1,result_20260605!$1:$1,0)))</f>
        <v>0</v>
      </c>
      <c r="O6">
        <f t="shared" si="0"/>
        <v>18</v>
      </c>
      <c r="P6" s="8">
        <f t="shared" si="1"/>
        <v>0.3888888888888889</v>
      </c>
    </row>
    <row r="7" spans="1:16">
      <c r="A7">
        <v>6</v>
      </c>
      <c r="B7">
        <f>SUMIF(result_20260605!$A:$A,sum_orient_20260605!$A7,INDEX(result_20260605!$A:$Z,0,MATCH(sum_orient_20260605!B$1,result_20260605!$1:$1,0)))</f>
        <v>0</v>
      </c>
      <c r="C7">
        <f>SUMIF(result_20260605!$A:$A,sum_orient_20260605!$A7,INDEX(result_20260605!$A:$Z,0,MATCH(sum_orient_20260605!C$1,result_20260605!$1:$1,0)))</f>
        <v>7</v>
      </c>
      <c r="D7">
        <f>SUMIF(result_20260605!$A:$A,sum_orient_20260605!$A7,INDEX(result_20260605!$A:$Z,0,MATCH(sum_orient_20260605!D$1,result_20260605!$1:$1,0)))</f>
        <v>0</v>
      </c>
      <c r="E7">
        <f>SUMIF(result_20260605!$A:$A,sum_orient_20260605!$A7,INDEX(result_20260605!$A:$Z,0,MATCH(sum_orient_20260605!E$1,result_20260605!$1:$1,0)))</f>
        <v>11</v>
      </c>
      <c r="F7">
        <f>SUMIF(result_20260605!$A:$A,sum_orient_20260605!$A7,INDEX(result_20260605!$A:$Z,0,MATCH(sum_orient_20260605!F$1,result_20260605!$1:$1,0)))</f>
        <v>7</v>
      </c>
      <c r="G7">
        <f>SUMIF(result_20260605!$A:$A,sum_orient_20260605!$A7,INDEX(result_20260605!$A:$Z,0,MATCH(sum_orient_20260605!G$1,result_20260605!$1:$1,0)))</f>
        <v>0</v>
      </c>
      <c r="H7">
        <f>SUMIF(result_20260605!$A:$A,sum_orient_20260605!$A7,INDEX(result_20260605!$A:$Z,0,MATCH(sum_orient_20260605!H$1,result_20260605!$1:$1,0)))</f>
        <v>0</v>
      </c>
      <c r="I7">
        <f>SUMIF(result_20260605!$A:$A,sum_orient_20260605!$A7,INDEX(result_20260605!$A:$Z,0,MATCH(sum_orient_20260605!I$1,result_20260605!$1:$1,0)))</f>
        <v>10</v>
      </c>
      <c r="J7">
        <f>SUMIF(result_20260605!$A:$A,sum_orient_20260605!$A7,INDEX(result_20260605!$A:$Z,0,MATCH(sum_orient_20260605!J$1,result_20260605!$1:$1,0)))</f>
        <v>0</v>
      </c>
      <c r="K7">
        <f>SUMIF(result_20260605!$A:$A,sum_orient_20260605!$A7,INDEX(result_20260605!$A:$Z,0,MATCH(sum_orient_20260605!K$1,result_20260605!$1:$1,0)))</f>
        <v>0</v>
      </c>
      <c r="L7">
        <f>SUMIF(result_20260605!$A:$A,sum_orient_20260605!$A7,INDEX(result_20260605!$A:$Z,0,MATCH(sum_orient_20260605!L$1,result_20260605!$1:$1,0)))</f>
        <v>0</v>
      </c>
      <c r="M7">
        <f>SUMIF(result_20260605!$A:$A,sum_orient_20260605!$A7,INDEX(result_20260605!$A:$Z,0,MATCH(sum_orient_20260605!M$1,result_20260605!$1:$1,0)))</f>
        <v>1</v>
      </c>
      <c r="N7">
        <f>SUMIF(result_20260605!$A:$A,sum_orient_20260605!$A7,INDEX(result_20260605!$A:$Z,0,MATCH(sum_orient_20260605!N$1,result_20260605!$1:$1,0)))</f>
        <v>0</v>
      </c>
      <c r="O7">
        <f t="shared" si="0"/>
        <v>18</v>
      </c>
      <c r="P7" s="8">
        <f t="shared" si="1"/>
        <v>0.3888888888888889</v>
      </c>
    </row>
    <row r="8" spans="1:16">
      <c r="A8">
        <v>7</v>
      </c>
      <c r="B8">
        <f>SUMIF(result_20260605!$A:$A,sum_orient_20260605!$A8,INDEX(result_20260605!$A:$Z,0,MATCH(sum_orient_20260605!B$1,result_20260605!$1:$1,0)))</f>
        <v>0</v>
      </c>
      <c r="C8">
        <f>SUMIF(result_20260605!$A:$A,sum_orient_20260605!$A8,INDEX(result_20260605!$A:$Z,0,MATCH(sum_orient_20260605!C$1,result_20260605!$1:$1,0)))</f>
        <v>4</v>
      </c>
      <c r="D8">
        <f>SUMIF(result_20260605!$A:$A,sum_orient_20260605!$A8,INDEX(result_20260605!$A:$Z,0,MATCH(sum_orient_20260605!D$1,result_20260605!$1:$1,0)))</f>
        <v>0</v>
      </c>
      <c r="E8">
        <f>SUMIF(result_20260605!$A:$A,sum_orient_20260605!$A8,INDEX(result_20260605!$A:$Z,0,MATCH(sum_orient_20260605!E$1,result_20260605!$1:$1,0)))</f>
        <v>14</v>
      </c>
      <c r="F8">
        <f>SUMIF(result_20260605!$A:$A,sum_orient_20260605!$A8,INDEX(result_20260605!$A:$Z,0,MATCH(sum_orient_20260605!F$1,result_20260605!$1:$1,0)))</f>
        <v>4</v>
      </c>
      <c r="G8">
        <f>SUMIF(result_20260605!$A:$A,sum_orient_20260605!$A8,INDEX(result_20260605!$A:$Z,0,MATCH(sum_orient_20260605!G$1,result_20260605!$1:$1,0)))</f>
        <v>0</v>
      </c>
      <c r="H8">
        <f>SUMIF(result_20260605!$A:$A,sum_orient_20260605!$A8,INDEX(result_20260605!$A:$Z,0,MATCH(sum_orient_20260605!H$1,result_20260605!$1:$1,0)))</f>
        <v>0</v>
      </c>
      <c r="I8">
        <f>SUMIF(result_20260605!$A:$A,sum_orient_20260605!$A8,INDEX(result_20260605!$A:$Z,0,MATCH(sum_orient_20260605!I$1,result_20260605!$1:$1,0)))</f>
        <v>10</v>
      </c>
      <c r="J8">
        <f>SUMIF(result_20260605!$A:$A,sum_orient_20260605!$A8,INDEX(result_20260605!$A:$Z,0,MATCH(sum_orient_20260605!J$1,result_20260605!$1:$1,0)))</f>
        <v>0</v>
      </c>
      <c r="K8">
        <f>SUMIF(result_20260605!$A:$A,sum_orient_20260605!$A8,INDEX(result_20260605!$A:$Z,0,MATCH(sum_orient_20260605!K$1,result_20260605!$1:$1,0)))</f>
        <v>0</v>
      </c>
      <c r="L8">
        <f>SUMIF(result_20260605!$A:$A,sum_orient_20260605!$A8,INDEX(result_20260605!$A:$Z,0,MATCH(sum_orient_20260605!L$1,result_20260605!$1:$1,0)))</f>
        <v>1</v>
      </c>
      <c r="M8">
        <f>SUMIF(result_20260605!$A:$A,sum_orient_20260605!$A8,INDEX(result_20260605!$A:$Z,0,MATCH(sum_orient_20260605!M$1,result_20260605!$1:$1,0)))</f>
        <v>3</v>
      </c>
      <c r="N8">
        <f>SUMIF(result_20260605!$A:$A,sum_orient_20260605!$A8,INDEX(result_20260605!$A:$Z,0,MATCH(sum_orient_20260605!N$1,result_20260605!$1:$1,0)))</f>
        <v>0</v>
      </c>
      <c r="O8">
        <f t="shared" si="0"/>
        <v>18</v>
      </c>
      <c r="P8" s="8">
        <f t="shared" si="1"/>
        <v>0.22222222222222221</v>
      </c>
    </row>
    <row r="9" spans="1:16">
      <c r="A9">
        <v>8</v>
      </c>
      <c r="B9">
        <f>SUMIF(result_20260605!$A:$A,sum_orient_20260605!$A9,INDEX(result_20260605!$A:$Z,0,MATCH(sum_orient_20260605!B$1,result_20260605!$1:$1,0)))</f>
        <v>3</v>
      </c>
      <c r="C9">
        <f>SUMIF(result_20260605!$A:$A,sum_orient_20260605!$A9,INDEX(result_20260605!$A:$Z,0,MATCH(sum_orient_20260605!C$1,result_20260605!$1:$1,0)))</f>
        <v>10</v>
      </c>
      <c r="D9">
        <f>SUMIF(result_20260605!$A:$A,sum_orient_20260605!$A9,INDEX(result_20260605!$A:$Z,0,MATCH(sum_orient_20260605!D$1,result_20260605!$1:$1,0)))</f>
        <v>0</v>
      </c>
      <c r="E9">
        <f>SUMIF(result_20260605!$A:$A,sum_orient_20260605!$A9,INDEX(result_20260605!$A:$Z,0,MATCH(sum_orient_20260605!E$1,result_20260605!$1:$1,0)))</f>
        <v>5</v>
      </c>
      <c r="F9">
        <f>SUMIF(result_20260605!$A:$A,sum_orient_20260605!$A9,INDEX(result_20260605!$A:$Z,0,MATCH(sum_orient_20260605!F$1,result_20260605!$1:$1,0)))</f>
        <v>6</v>
      </c>
      <c r="G9">
        <f>SUMIF(result_20260605!$A:$A,sum_orient_20260605!$A9,INDEX(result_20260605!$A:$Z,0,MATCH(sum_orient_20260605!G$1,result_20260605!$1:$1,0)))</f>
        <v>0</v>
      </c>
      <c r="H9">
        <f>SUMIF(result_20260605!$A:$A,sum_orient_20260605!$A9,INDEX(result_20260605!$A:$Z,0,MATCH(sum_orient_20260605!H$1,result_20260605!$1:$1,0)))</f>
        <v>0</v>
      </c>
      <c r="I9">
        <f>SUMIF(result_20260605!$A:$A,sum_orient_20260605!$A9,INDEX(result_20260605!$A:$Z,0,MATCH(sum_orient_20260605!I$1,result_20260605!$1:$1,0)))</f>
        <v>4</v>
      </c>
      <c r="J9">
        <f>SUMIF(result_20260605!$A:$A,sum_orient_20260605!$A9,INDEX(result_20260605!$A:$Z,0,MATCH(sum_orient_20260605!J$1,result_20260605!$1:$1,0)))</f>
        <v>0</v>
      </c>
      <c r="K9">
        <f>SUMIF(result_20260605!$A:$A,sum_orient_20260605!$A9,INDEX(result_20260605!$A:$Z,0,MATCH(sum_orient_20260605!K$1,result_20260605!$1:$1,0)))</f>
        <v>0</v>
      </c>
      <c r="L9">
        <f>SUMIF(result_20260605!$A:$A,sum_orient_20260605!$A9,INDEX(result_20260605!$A:$Z,0,MATCH(sum_orient_20260605!L$1,result_20260605!$1:$1,0)))</f>
        <v>0</v>
      </c>
      <c r="M9">
        <f>SUMIF(result_20260605!$A:$A,sum_orient_20260605!$A9,INDEX(result_20260605!$A:$Z,0,MATCH(sum_orient_20260605!M$1,result_20260605!$1:$1,0)))</f>
        <v>1</v>
      </c>
      <c r="N9">
        <f>SUMIF(result_20260605!$A:$A,sum_orient_20260605!$A9,INDEX(result_20260605!$A:$Z,0,MATCH(sum_orient_20260605!N$1,result_20260605!$1:$1,0)))</f>
        <v>4</v>
      </c>
      <c r="O9">
        <f t="shared" si="0"/>
        <v>18</v>
      </c>
      <c r="P9" s="8">
        <f t="shared" si="1"/>
        <v>0.72222222222222221</v>
      </c>
    </row>
    <row r="10" spans="1:16">
      <c r="A10" s="24" t="s">
        <v>35</v>
      </c>
      <c r="B10" s="24">
        <f>SUM(B2:B9)</f>
        <v>25</v>
      </c>
      <c r="C10" s="24">
        <f t="shared" ref="C10:O10" si="2">SUM(C2:C9)</f>
        <v>40</v>
      </c>
      <c r="D10" s="24">
        <f t="shared" si="2"/>
        <v>0</v>
      </c>
      <c r="E10" s="24">
        <f t="shared" si="2"/>
        <v>97</v>
      </c>
      <c r="F10" s="24">
        <f t="shared" si="2"/>
        <v>34</v>
      </c>
      <c r="G10" s="24">
        <f t="shared" si="2"/>
        <v>1</v>
      </c>
      <c r="H10" s="24">
        <f t="shared" si="2"/>
        <v>0</v>
      </c>
      <c r="I10" s="24">
        <f t="shared" si="2"/>
        <v>70</v>
      </c>
      <c r="J10" s="24">
        <f t="shared" si="2"/>
        <v>2</v>
      </c>
      <c r="K10" s="24">
        <f t="shared" si="2"/>
        <v>0</v>
      </c>
      <c r="L10" s="24">
        <f t="shared" si="2"/>
        <v>14</v>
      </c>
      <c r="M10" s="24">
        <f t="shared" si="2"/>
        <v>10</v>
      </c>
      <c r="N10" s="24">
        <f t="shared" si="2"/>
        <v>6</v>
      </c>
      <c r="O10" s="24">
        <f t="shared" si="2"/>
        <v>162</v>
      </c>
      <c r="P10" s="25">
        <f t="shared" si="1"/>
        <v>0.40123456790123457</v>
      </c>
    </row>
    <row r="12" spans="1:16">
      <c r="A12" t="s">
        <v>73</v>
      </c>
    </row>
    <row r="13" spans="1:16">
      <c r="A13" s="24" t="s">
        <v>4</v>
      </c>
      <c r="B13" s="24" t="s">
        <v>0</v>
      </c>
      <c r="C13" s="24" t="s">
        <v>16</v>
      </c>
      <c r="D13" s="24" t="s">
        <v>21</v>
      </c>
      <c r="E13" s="24" t="s">
        <v>17</v>
      </c>
      <c r="F13" s="24" t="s">
        <v>69</v>
      </c>
      <c r="G13" s="24" t="s">
        <v>1</v>
      </c>
      <c r="H13" s="24" t="s">
        <v>20</v>
      </c>
      <c r="I13" s="24" t="s">
        <v>62</v>
      </c>
      <c r="J13" s="24" t="s">
        <v>2</v>
      </c>
      <c r="K13" s="24" t="s">
        <v>18</v>
      </c>
      <c r="L13" s="24" t="s">
        <v>23</v>
      </c>
      <c r="M13" s="24" t="s">
        <v>19</v>
      </c>
      <c r="N13" s="24" t="s">
        <v>22</v>
      </c>
      <c r="O13" s="24" t="s">
        <v>33</v>
      </c>
      <c r="P13" s="25" t="s">
        <v>34</v>
      </c>
    </row>
    <row r="14" spans="1:16">
      <c r="A14">
        <v>1</v>
      </c>
      <c r="B14">
        <f>SUMIF(result_20260605!$A:$A,sum_orient_20260605!$A14,INDEX(result_20260605!$A:$Z,0,MATCH(sum_orient_20260605!B$1,result_20260605!$1:$1,0)))</f>
        <v>15</v>
      </c>
      <c r="C14">
        <f>SUMIF(result_20260605!$A:$A,sum_orient_20260605!$A14,INDEX(result_20260605!$A:$Z,0,MATCH(sum_orient_20260605!C$1,result_20260605!$1:$1,0)))</f>
        <v>1</v>
      </c>
      <c r="D14">
        <f>SUMIF(result_20260605!$A:$A,sum_orient_20260605!$A14,INDEX(result_20260605!$A:$Z,0,MATCH(sum_orient_20260605!D$1,result_20260605!$1:$1,0)))</f>
        <v>0</v>
      </c>
      <c r="E14">
        <f>SUMIF(result_20260605!$A:$A,sum_orient_20260605!$A14,INDEX(result_20260605!$A:$Z,0,MATCH(sum_orient_20260605!E$1,result_20260605!$1:$1,0)))</f>
        <v>11</v>
      </c>
      <c r="F14">
        <f>SUMIF(result_20260605!$A:$A,sum_orient_20260605!$A14,INDEX(result_20260605!$A:$Z,0,MATCH(sum_orient_20260605!F$1,result_20260605!$1:$1,0)))</f>
        <v>0</v>
      </c>
      <c r="G14">
        <f>SUMIF(result_20260605!$A:$A,sum_orient_20260605!$A14,INDEX(result_20260605!$A:$Z,0,MATCH(sum_orient_20260605!G$1,result_20260605!$1:$1,0)))</f>
        <v>0</v>
      </c>
      <c r="H14">
        <f>SUMIF(result_20260605!$A:$A,sum_orient_20260605!$A14,INDEX(result_20260605!$A:$Z,0,MATCH(sum_orient_20260605!H$1,result_20260605!$1:$1,0)))</f>
        <v>0</v>
      </c>
      <c r="I14">
        <f>SUMIF(result_20260605!$A:$A,sum_orient_20260605!$A14,INDEX(result_20260605!$A:$Z,0,MATCH(sum_orient_20260605!I$1,result_20260605!$1:$1,0)))</f>
        <v>9</v>
      </c>
      <c r="J14">
        <f>SUMIF(result_20260605!$A:$A,sum_orient_20260605!$A14,INDEX(result_20260605!$A:$Z,0,MATCH(sum_orient_20260605!J$1,result_20260605!$1:$1,0)))</f>
        <v>0</v>
      </c>
      <c r="K14">
        <f>SUMIF(result_20260605!$A:$A,sum_orient_20260605!$A14,INDEX(result_20260605!$A:$Z,0,MATCH(sum_orient_20260605!K$1,result_20260605!$1:$1,0)))</f>
        <v>0</v>
      </c>
      <c r="L14">
        <f>SUMIF(result_20260605!$A:$A,sum_orient_20260605!$A14,INDEX(result_20260605!$A:$Z,0,MATCH(sum_orient_20260605!L$1,result_20260605!$1:$1,0)))</f>
        <v>0</v>
      </c>
      <c r="M14">
        <f>SUMIF(result_20260605!$A:$A,sum_orient_20260605!$A14,INDEX(result_20260605!$A:$Z,0,MATCH(sum_orient_20260605!M$1,result_20260605!$1:$1,0)))</f>
        <v>2</v>
      </c>
      <c r="N14">
        <f>SUMIF(result_20260605!$A:$A,sum_orient_20260605!$A14,INDEX(result_20260605!$A:$Z,0,MATCH(sum_orient_20260605!N$1,result_20260605!$1:$1,0)))</f>
        <v>1</v>
      </c>
      <c r="O14">
        <f>SUM(B14:E14)</f>
        <v>27</v>
      </c>
      <c r="P14" s="8">
        <f>SUM(B14+C14)/O14</f>
        <v>0.59259259259259256</v>
      </c>
    </row>
    <row r="15" spans="1:16">
      <c r="A15">
        <v>2</v>
      </c>
      <c r="B15">
        <f>SUMIF(result_20260605!$A:$A,sum_orient_20260605!$A15,INDEX(result_20260605!$A:$Z,0,MATCH(sum_orient_20260605!B$1,result_20260605!$1:$1,0)))</f>
        <v>0</v>
      </c>
      <c r="C15">
        <f>SUMIF(result_20260605!$A:$A,sum_orient_20260605!$A15,INDEX(result_20260605!$A:$Z,0,MATCH(sum_orient_20260605!C$1,result_20260605!$1:$1,0)))</f>
        <v>2</v>
      </c>
      <c r="D15">
        <f>SUMIF(result_20260605!$A:$A,sum_orient_20260605!$A15,INDEX(result_20260605!$A:$Z,0,MATCH(sum_orient_20260605!D$1,result_20260605!$1:$1,0)))</f>
        <v>0</v>
      </c>
      <c r="E15">
        <f>SUMIF(result_20260605!$A:$A,sum_orient_20260605!$A15,INDEX(result_20260605!$A:$Z,0,MATCH(sum_orient_20260605!E$1,result_20260605!$1:$1,0)))</f>
        <v>25</v>
      </c>
      <c r="F15">
        <f>SUMIF(result_20260605!$A:$A,sum_orient_20260605!$A15,INDEX(result_20260605!$A:$Z,0,MATCH(sum_orient_20260605!F$1,result_20260605!$1:$1,0)))</f>
        <v>2</v>
      </c>
      <c r="G15">
        <f>SUMIF(result_20260605!$A:$A,sum_orient_20260605!$A15,INDEX(result_20260605!$A:$Z,0,MATCH(sum_orient_20260605!G$1,result_20260605!$1:$1,0)))</f>
        <v>0</v>
      </c>
      <c r="H15">
        <f>SUMIF(result_20260605!$A:$A,sum_orient_20260605!$A15,INDEX(result_20260605!$A:$Z,0,MATCH(sum_orient_20260605!H$1,result_20260605!$1:$1,0)))</f>
        <v>0</v>
      </c>
      <c r="I15">
        <f>SUMIF(result_20260605!$A:$A,sum_orient_20260605!$A15,INDEX(result_20260605!$A:$Z,0,MATCH(sum_orient_20260605!I$1,result_20260605!$1:$1,0)))</f>
        <v>22</v>
      </c>
      <c r="J15">
        <f>SUMIF(result_20260605!$A:$A,sum_orient_20260605!$A15,INDEX(result_20260605!$A:$Z,0,MATCH(sum_orient_20260605!J$1,result_20260605!$1:$1,0)))</f>
        <v>0</v>
      </c>
      <c r="K15">
        <f>SUMIF(result_20260605!$A:$A,sum_orient_20260605!$A15,INDEX(result_20260605!$A:$Z,0,MATCH(sum_orient_20260605!K$1,result_20260605!$1:$1,0)))</f>
        <v>0</v>
      </c>
      <c r="L15">
        <f>SUMIF(result_20260605!$A:$A,sum_orient_20260605!$A15,INDEX(result_20260605!$A:$Z,0,MATCH(sum_orient_20260605!L$1,result_20260605!$1:$1,0)))</f>
        <v>0</v>
      </c>
      <c r="M15">
        <f>SUMIF(result_20260605!$A:$A,sum_orient_20260605!$A15,INDEX(result_20260605!$A:$Z,0,MATCH(sum_orient_20260605!M$1,result_20260605!$1:$1,0)))</f>
        <v>3</v>
      </c>
      <c r="N15">
        <f>SUMIF(result_20260605!$A:$A,sum_orient_20260605!$A15,INDEX(result_20260605!$A:$Z,0,MATCH(sum_orient_20260605!N$1,result_20260605!$1:$1,0)))</f>
        <v>0</v>
      </c>
      <c r="O15">
        <f t="shared" ref="O15:O18" si="3">SUM(B15:E15)</f>
        <v>27</v>
      </c>
      <c r="P15" s="8">
        <f t="shared" ref="P15:P19" si="4">SUM(B15+C15)/O15</f>
        <v>7.407407407407407E-2</v>
      </c>
    </row>
    <row r="16" spans="1:16">
      <c r="A16">
        <v>4</v>
      </c>
      <c r="B16">
        <f>SUMIF(result_20260605!$A:$A,sum_orient_20260605!$A16,INDEX(result_20260605!$A:$Z,0,MATCH(sum_orient_20260605!B$1,result_20260605!$1:$1,0)))</f>
        <v>1</v>
      </c>
      <c r="C16">
        <f>SUMIF(result_20260605!$A:$A,sum_orient_20260605!$A16,INDEX(result_20260605!$A:$Z,0,MATCH(sum_orient_20260605!C$1,result_20260605!$1:$1,0)))</f>
        <v>15</v>
      </c>
      <c r="D16">
        <f>SUMIF(result_20260605!$A:$A,sum_orient_20260605!$A16,INDEX(result_20260605!$A:$Z,0,MATCH(sum_orient_20260605!D$1,result_20260605!$1:$1,0)))</f>
        <v>0</v>
      </c>
      <c r="E16">
        <f>SUMIF(result_20260605!$A:$A,sum_orient_20260605!$A16,INDEX(result_20260605!$A:$Z,0,MATCH(sum_orient_20260605!E$1,result_20260605!$1:$1,0)))</f>
        <v>2</v>
      </c>
      <c r="F16">
        <f>SUMIF(result_20260605!$A:$A,sum_orient_20260605!$A16,INDEX(result_20260605!$A:$Z,0,MATCH(sum_orient_20260605!F$1,result_20260605!$1:$1,0)))</f>
        <v>14</v>
      </c>
      <c r="G16">
        <f>SUMIF(result_20260605!$A:$A,sum_orient_20260605!$A16,INDEX(result_20260605!$A:$Z,0,MATCH(sum_orient_20260605!G$1,result_20260605!$1:$1,0)))</f>
        <v>0</v>
      </c>
      <c r="H16">
        <f>SUMIF(result_20260605!$A:$A,sum_orient_20260605!$A16,INDEX(result_20260605!$A:$Z,0,MATCH(sum_orient_20260605!H$1,result_20260605!$1:$1,0)))</f>
        <v>0</v>
      </c>
      <c r="I16">
        <f>SUMIF(result_20260605!$A:$A,sum_orient_20260605!$A16,INDEX(result_20260605!$A:$Z,0,MATCH(sum_orient_20260605!I$1,result_20260605!$1:$1,0)))</f>
        <v>0</v>
      </c>
      <c r="J16">
        <f>SUMIF(result_20260605!$A:$A,sum_orient_20260605!$A16,INDEX(result_20260605!$A:$Z,0,MATCH(sum_orient_20260605!J$1,result_20260605!$1:$1,0)))</f>
        <v>2</v>
      </c>
      <c r="K16">
        <f>SUMIF(result_20260605!$A:$A,sum_orient_20260605!$A16,INDEX(result_20260605!$A:$Z,0,MATCH(sum_orient_20260605!K$1,result_20260605!$1:$1,0)))</f>
        <v>0</v>
      </c>
      <c r="L16">
        <f>SUMIF(result_20260605!$A:$A,sum_orient_20260605!$A16,INDEX(result_20260605!$A:$Z,0,MATCH(sum_orient_20260605!L$1,result_20260605!$1:$1,0)))</f>
        <v>0</v>
      </c>
      <c r="M16">
        <f>SUMIF(result_20260605!$A:$A,sum_orient_20260605!$A16,INDEX(result_20260605!$A:$Z,0,MATCH(sum_orient_20260605!M$1,result_20260605!$1:$1,0)))</f>
        <v>0</v>
      </c>
      <c r="N16">
        <f>SUMIF(result_20260605!$A:$A,sum_orient_20260605!$A16,INDEX(result_20260605!$A:$Z,0,MATCH(sum_orient_20260605!N$1,result_20260605!$1:$1,0)))</f>
        <v>1</v>
      </c>
      <c r="O16">
        <f t="shared" si="3"/>
        <v>18</v>
      </c>
      <c r="P16" s="8">
        <f t="shared" si="4"/>
        <v>0.88888888888888884</v>
      </c>
    </row>
    <row r="17" spans="1:16">
      <c r="A17">
        <v>6</v>
      </c>
      <c r="B17">
        <f>SUMIF(result_20260605!$A:$A,sum_orient_20260605!$A17,INDEX(result_20260605!$A:$Z,0,MATCH(sum_orient_20260605!B$1,result_20260605!$1:$1,0)))</f>
        <v>0</v>
      </c>
      <c r="C17">
        <f>SUMIF(result_20260605!$A:$A,sum_orient_20260605!$A17,INDEX(result_20260605!$A:$Z,0,MATCH(sum_orient_20260605!C$1,result_20260605!$1:$1,0)))</f>
        <v>7</v>
      </c>
      <c r="D17">
        <f>SUMIF(result_20260605!$A:$A,sum_orient_20260605!$A17,INDEX(result_20260605!$A:$Z,0,MATCH(sum_orient_20260605!D$1,result_20260605!$1:$1,0)))</f>
        <v>0</v>
      </c>
      <c r="E17">
        <f>SUMIF(result_20260605!$A:$A,sum_orient_20260605!$A17,INDEX(result_20260605!$A:$Z,0,MATCH(sum_orient_20260605!E$1,result_20260605!$1:$1,0)))</f>
        <v>11</v>
      </c>
      <c r="F17">
        <f>SUMIF(result_20260605!$A:$A,sum_orient_20260605!$A17,INDEX(result_20260605!$A:$Z,0,MATCH(sum_orient_20260605!F$1,result_20260605!$1:$1,0)))</f>
        <v>7</v>
      </c>
      <c r="G17">
        <f>SUMIF(result_20260605!$A:$A,sum_orient_20260605!$A17,INDEX(result_20260605!$A:$Z,0,MATCH(sum_orient_20260605!G$1,result_20260605!$1:$1,0)))</f>
        <v>0</v>
      </c>
      <c r="H17">
        <f>SUMIF(result_20260605!$A:$A,sum_orient_20260605!$A17,INDEX(result_20260605!$A:$Z,0,MATCH(sum_orient_20260605!H$1,result_20260605!$1:$1,0)))</f>
        <v>0</v>
      </c>
      <c r="I17">
        <f>SUMIF(result_20260605!$A:$A,sum_orient_20260605!$A17,INDEX(result_20260605!$A:$Z,0,MATCH(sum_orient_20260605!I$1,result_20260605!$1:$1,0)))</f>
        <v>10</v>
      </c>
      <c r="J17">
        <f>SUMIF(result_20260605!$A:$A,sum_orient_20260605!$A17,INDEX(result_20260605!$A:$Z,0,MATCH(sum_orient_20260605!J$1,result_20260605!$1:$1,0)))</f>
        <v>0</v>
      </c>
      <c r="K17">
        <f>SUMIF(result_20260605!$A:$A,sum_orient_20260605!$A17,INDEX(result_20260605!$A:$Z,0,MATCH(sum_orient_20260605!K$1,result_20260605!$1:$1,0)))</f>
        <v>0</v>
      </c>
      <c r="L17">
        <f>SUMIF(result_20260605!$A:$A,sum_orient_20260605!$A17,INDEX(result_20260605!$A:$Z,0,MATCH(sum_orient_20260605!L$1,result_20260605!$1:$1,0)))</f>
        <v>0</v>
      </c>
      <c r="M17">
        <f>SUMIF(result_20260605!$A:$A,sum_orient_20260605!$A17,INDEX(result_20260605!$A:$Z,0,MATCH(sum_orient_20260605!M$1,result_20260605!$1:$1,0)))</f>
        <v>1</v>
      </c>
      <c r="N17">
        <f>SUMIF(result_20260605!$A:$A,sum_orient_20260605!$A17,INDEX(result_20260605!$A:$Z,0,MATCH(sum_orient_20260605!N$1,result_20260605!$1:$1,0)))</f>
        <v>0</v>
      </c>
      <c r="O17">
        <f t="shared" si="3"/>
        <v>18</v>
      </c>
      <c r="P17" s="8">
        <f t="shared" si="4"/>
        <v>0.3888888888888889</v>
      </c>
    </row>
    <row r="18" spans="1:16">
      <c r="A18">
        <v>8</v>
      </c>
      <c r="B18">
        <f>SUMIF(result_20260605!$A:$A,sum_orient_20260605!$A18,INDEX(result_20260605!$A:$Z,0,MATCH(sum_orient_20260605!B$1,result_20260605!$1:$1,0)))</f>
        <v>3</v>
      </c>
      <c r="C18">
        <f>SUMIF(result_20260605!$A:$A,sum_orient_20260605!$A18,INDEX(result_20260605!$A:$Z,0,MATCH(sum_orient_20260605!C$1,result_20260605!$1:$1,0)))</f>
        <v>10</v>
      </c>
      <c r="D18">
        <f>SUMIF(result_20260605!$A:$A,sum_orient_20260605!$A18,INDEX(result_20260605!$A:$Z,0,MATCH(sum_orient_20260605!D$1,result_20260605!$1:$1,0)))</f>
        <v>0</v>
      </c>
      <c r="E18">
        <f>SUMIF(result_20260605!$A:$A,sum_orient_20260605!$A18,INDEX(result_20260605!$A:$Z,0,MATCH(sum_orient_20260605!E$1,result_20260605!$1:$1,0)))</f>
        <v>5</v>
      </c>
      <c r="F18">
        <f>SUMIF(result_20260605!$A:$A,sum_orient_20260605!$A18,INDEX(result_20260605!$A:$Z,0,MATCH(sum_orient_20260605!F$1,result_20260605!$1:$1,0)))</f>
        <v>6</v>
      </c>
      <c r="G18">
        <f>SUMIF(result_20260605!$A:$A,sum_orient_20260605!$A18,INDEX(result_20260605!$A:$Z,0,MATCH(sum_orient_20260605!G$1,result_20260605!$1:$1,0)))</f>
        <v>0</v>
      </c>
      <c r="H18">
        <f>SUMIF(result_20260605!$A:$A,sum_orient_20260605!$A18,INDEX(result_20260605!$A:$Z,0,MATCH(sum_orient_20260605!H$1,result_20260605!$1:$1,0)))</f>
        <v>0</v>
      </c>
      <c r="I18">
        <f>SUMIF(result_20260605!$A:$A,sum_orient_20260605!$A18,INDEX(result_20260605!$A:$Z,0,MATCH(sum_orient_20260605!I$1,result_20260605!$1:$1,0)))</f>
        <v>4</v>
      </c>
      <c r="J18">
        <f>SUMIF(result_20260605!$A:$A,sum_orient_20260605!$A18,INDEX(result_20260605!$A:$Z,0,MATCH(sum_orient_20260605!J$1,result_20260605!$1:$1,0)))</f>
        <v>0</v>
      </c>
      <c r="K18">
        <f>SUMIF(result_20260605!$A:$A,sum_orient_20260605!$A18,INDEX(result_20260605!$A:$Z,0,MATCH(sum_orient_20260605!K$1,result_20260605!$1:$1,0)))</f>
        <v>0</v>
      </c>
      <c r="L18">
        <f>SUMIF(result_20260605!$A:$A,sum_orient_20260605!$A18,INDEX(result_20260605!$A:$Z,0,MATCH(sum_orient_20260605!L$1,result_20260605!$1:$1,0)))</f>
        <v>0</v>
      </c>
      <c r="M18">
        <f>SUMIF(result_20260605!$A:$A,sum_orient_20260605!$A18,INDEX(result_20260605!$A:$Z,0,MATCH(sum_orient_20260605!M$1,result_20260605!$1:$1,0)))</f>
        <v>1</v>
      </c>
      <c r="N18">
        <f>SUMIF(result_20260605!$A:$A,sum_orient_20260605!$A18,INDEX(result_20260605!$A:$Z,0,MATCH(sum_orient_20260605!N$1,result_20260605!$1:$1,0)))</f>
        <v>4</v>
      </c>
      <c r="O18">
        <f t="shared" si="3"/>
        <v>18</v>
      </c>
      <c r="P18" s="8">
        <f t="shared" si="4"/>
        <v>0.72222222222222221</v>
      </c>
    </row>
    <row r="19" spans="1:16">
      <c r="A19" s="24" t="s">
        <v>35</v>
      </c>
      <c r="B19" s="24">
        <f t="shared" ref="B19:O19" si="5">SUM(B14:B18)</f>
        <v>19</v>
      </c>
      <c r="C19" s="24">
        <f t="shared" si="5"/>
        <v>35</v>
      </c>
      <c r="D19" s="24">
        <f t="shared" si="5"/>
        <v>0</v>
      </c>
      <c r="E19" s="24">
        <f t="shared" si="5"/>
        <v>54</v>
      </c>
      <c r="F19" s="24">
        <f t="shared" si="5"/>
        <v>29</v>
      </c>
      <c r="G19" s="24">
        <f t="shared" si="5"/>
        <v>0</v>
      </c>
      <c r="H19" s="24">
        <f t="shared" si="5"/>
        <v>0</v>
      </c>
      <c r="I19" s="24">
        <f t="shared" si="5"/>
        <v>45</v>
      </c>
      <c r="J19" s="24">
        <f t="shared" si="5"/>
        <v>2</v>
      </c>
      <c r="K19" s="24">
        <f t="shared" si="5"/>
        <v>0</v>
      </c>
      <c r="L19" s="24">
        <f t="shared" si="5"/>
        <v>0</v>
      </c>
      <c r="M19" s="24">
        <f t="shared" si="5"/>
        <v>7</v>
      </c>
      <c r="N19" s="24">
        <f t="shared" si="5"/>
        <v>6</v>
      </c>
      <c r="O19" s="24">
        <f t="shared" si="5"/>
        <v>108</v>
      </c>
      <c r="P19" s="25">
        <f t="shared" si="4"/>
        <v>0.5</v>
      </c>
    </row>
  </sheetData>
  <phoneticPr fontId="1" type="noConversion"/>
  <conditionalFormatting sqref="P2">
    <cfRule type="colorScale" priority="4">
      <colorScale>
        <cfvo type="percent" val="0"/>
        <cfvo type="percentile" val="50"/>
        <cfvo type="percent" val="100"/>
        <color rgb="FFF8696B"/>
        <color rgb="FFFFEB84"/>
        <color rgb="FF63BE7B"/>
      </colorScale>
    </cfRule>
  </conditionalFormatting>
  <conditionalFormatting sqref="P2:P1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4">
    <cfRule type="colorScale" priority="2">
      <colorScale>
        <cfvo type="percent" val="0"/>
        <cfvo type="percentile" val="50"/>
        <cfvo type="percent" val="100"/>
        <color rgb="FFF8696B"/>
        <color rgb="FFFFEB84"/>
        <color rgb="FF63BE7B"/>
      </colorScale>
    </cfRule>
  </conditionalFormatting>
  <conditionalFormatting sqref="P14:P1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5273A-FEC8-4647-B3DC-633A84515E30}">
  <sheetPr>
    <tabColor theme="7" tint="-0.249977111117893"/>
  </sheetPr>
  <dimension ref="A1:P21"/>
  <sheetViews>
    <sheetView workbookViewId="0">
      <selection activeCell="N15" sqref="N15"/>
    </sheetView>
  </sheetViews>
  <sheetFormatPr defaultRowHeight="14.25"/>
  <cols>
    <col min="3" max="3" width="23.5" bestFit="1" customWidth="1"/>
    <col min="4" max="4" width="32.125" bestFit="1" customWidth="1"/>
    <col min="7" max="7" width="17.5" style="8" bestFit="1" customWidth="1"/>
  </cols>
  <sheetData>
    <row r="1" spans="1:16">
      <c r="A1" s="24" t="s">
        <v>3</v>
      </c>
      <c r="B1" s="24" t="s">
        <v>0</v>
      </c>
      <c r="C1" s="24" t="s">
        <v>16</v>
      </c>
      <c r="D1" s="24" t="s">
        <v>21</v>
      </c>
      <c r="E1" s="24" t="s">
        <v>17</v>
      </c>
      <c r="F1" s="24" t="s">
        <v>69</v>
      </c>
      <c r="G1" s="24" t="s">
        <v>1</v>
      </c>
      <c r="H1" s="24" t="s">
        <v>20</v>
      </c>
      <c r="I1" s="24" t="s">
        <v>62</v>
      </c>
      <c r="J1" s="24" t="s">
        <v>2</v>
      </c>
      <c r="K1" s="24" t="s">
        <v>18</v>
      </c>
      <c r="L1" s="24" t="s">
        <v>23</v>
      </c>
      <c r="M1" s="24" t="s">
        <v>19</v>
      </c>
      <c r="N1" s="24" t="s">
        <v>70</v>
      </c>
      <c r="O1" s="24" t="s">
        <v>33</v>
      </c>
      <c r="P1" s="25" t="s">
        <v>34</v>
      </c>
    </row>
    <row r="2" spans="1:16">
      <c r="A2" t="s">
        <v>6</v>
      </c>
      <c r="B2">
        <f>SUMIF(result_20260605!$B:$B,sum_pos_20260605!$A2,INDEX(result_20260605!$A:$Z,0,MATCH(sum_pos_20260605!B$1,result_20260605!$1:$1,0)))</f>
        <v>3</v>
      </c>
      <c r="C2">
        <f>SUMIF(result_20260605!$B:$B,sum_pos_20260605!$A2,INDEX(result_20260605!$A:$Z,0,MATCH(sum_pos_20260605!C$1,result_20260605!$1:$1,0)))</f>
        <v>8</v>
      </c>
      <c r="D2">
        <f>SUMIF(result_20260605!$B:$B,sum_pos_20260605!$A2,INDEX(result_20260605!$A:$Z,0,MATCH(sum_pos_20260605!D$1,result_20260605!$1:$1,0)))</f>
        <v>0</v>
      </c>
      <c r="E2">
        <f>SUMIF(result_20260605!$B:$B,sum_pos_20260605!$A2,INDEX(result_20260605!$A:$Z,0,MATCH(sum_pos_20260605!E$1,result_20260605!$1:$1,0)))</f>
        <v>13</v>
      </c>
      <c r="F2">
        <f>SUMIF(result_20260605!$B:$B,sum_pos_20260605!$A2,INDEX(result_20260605!$A:$Z,0,MATCH(sum_pos_20260605!F$1,result_20260605!$1:$1,0)))</f>
        <v>8</v>
      </c>
      <c r="G2">
        <f>SUMIF(result_20260605!$B:$B,sum_pos_20260605!$A2,INDEX(result_20260605!$A:$Z,0,MATCH(sum_pos_20260605!G$1,result_20260605!$1:$1,0)))</f>
        <v>0</v>
      </c>
      <c r="H2">
        <f>SUMIF(result_20260605!$B:$B,sum_pos_20260605!$A2,INDEX(result_20260605!$A:$Z,0,MATCH(sum_pos_20260605!H$1,result_20260605!$1:$1,0)))</f>
        <v>0</v>
      </c>
      <c r="I2">
        <f>SUMIF(result_20260605!$B:$B,sum_pos_20260605!$A2,INDEX(result_20260605!$A:$Z,0,MATCH(sum_pos_20260605!I$1,result_20260605!$1:$1,0)))</f>
        <v>10</v>
      </c>
      <c r="J2">
        <f>SUMIF(result_20260605!$B:$B,sum_pos_20260605!$A2,INDEX(result_20260605!$A:$Z,0,MATCH(sum_pos_20260605!J$1,result_20260605!$1:$1,0)))</f>
        <v>0</v>
      </c>
      <c r="K2">
        <f>SUMIF(result_20260605!$B:$B,sum_pos_20260605!$A2,INDEX(result_20260605!$A:$Z,0,MATCH(sum_pos_20260605!K$1,result_20260605!$1:$1,0)))</f>
        <v>0</v>
      </c>
      <c r="L2">
        <f>SUMIF(result_20260605!$B:$B,sum_pos_20260605!$A2,INDEX(result_20260605!$A:$Z,0,MATCH(sum_pos_20260605!L$1,result_20260605!$1:$1,0)))</f>
        <v>2</v>
      </c>
      <c r="M2">
        <f>SUMIF(result_20260605!$B:$B,sum_pos_20260605!$A2,INDEX(result_20260605!$A:$Z,0,MATCH(sum_pos_20260605!M$1,result_20260605!$1:$1,0)))</f>
        <v>1</v>
      </c>
      <c r="N2">
        <f>SUMIF(result_20260605!$B:$B,sum_pos_20260605!$A2,INDEX(result_20260605!$A:$Z,0,MATCH(sum_pos_20260605!N$1,result_20260605!$1:$1,0)))</f>
        <v>0</v>
      </c>
      <c r="O2">
        <f t="shared" ref="O2:O10" si="0">SUM(B2:E2)</f>
        <v>24</v>
      </c>
      <c r="P2" s="8">
        <f t="shared" ref="P2:P10" si="1">SUM(B2:C2)/O2</f>
        <v>0.45833333333333331</v>
      </c>
    </row>
    <row r="3" spans="1:16">
      <c r="A3" t="s">
        <v>7</v>
      </c>
      <c r="B3">
        <f>SUMIF(result_20260605!$B:$B,sum_pos_20260605!$A3,INDEX(result_20260605!$A:$Z,0,MATCH(sum_pos_20260605!B$1,result_20260605!$1:$1,0)))</f>
        <v>3</v>
      </c>
      <c r="C3">
        <f>SUMIF(result_20260605!$B:$B,sum_pos_20260605!$A3,INDEX(result_20260605!$A:$Z,0,MATCH(sum_pos_20260605!C$1,result_20260605!$1:$1,0)))</f>
        <v>0</v>
      </c>
      <c r="D3">
        <f>SUMIF(result_20260605!$B:$B,sum_pos_20260605!$A3,INDEX(result_20260605!$A:$Z,0,MATCH(sum_pos_20260605!D$1,result_20260605!$1:$1,0)))</f>
        <v>0</v>
      </c>
      <c r="E3">
        <f>SUMIF(result_20260605!$B:$B,sum_pos_20260605!$A3,INDEX(result_20260605!$A:$Z,0,MATCH(sum_pos_20260605!E$1,result_20260605!$1:$1,0)))</f>
        <v>3</v>
      </c>
      <c r="F3">
        <f>SUMIF(result_20260605!$B:$B,sum_pos_20260605!$A3,INDEX(result_20260605!$A:$Z,0,MATCH(sum_pos_20260605!F$1,result_20260605!$1:$1,0)))</f>
        <v>0</v>
      </c>
      <c r="G3">
        <f>SUMIF(result_20260605!$B:$B,sum_pos_20260605!$A3,INDEX(result_20260605!$A:$Z,0,MATCH(sum_pos_20260605!G$1,result_20260605!$1:$1,0)))</f>
        <v>0</v>
      </c>
      <c r="H3">
        <f>SUMIF(result_20260605!$B:$B,sum_pos_20260605!$A3,INDEX(result_20260605!$A:$Z,0,MATCH(sum_pos_20260605!H$1,result_20260605!$1:$1,0)))</f>
        <v>0</v>
      </c>
      <c r="I3">
        <f>SUMIF(result_20260605!$B:$B,sum_pos_20260605!$A3,INDEX(result_20260605!$A:$Z,0,MATCH(sum_pos_20260605!I$1,result_20260605!$1:$1,0)))</f>
        <v>3</v>
      </c>
      <c r="J3">
        <f>SUMIF(result_20260605!$B:$B,sum_pos_20260605!$A3,INDEX(result_20260605!$A:$Z,0,MATCH(sum_pos_20260605!J$1,result_20260605!$1:$1,0)))</f>
        <v>0</v>
      </c>
      <c r="K3">
        <f>SUMIF(result_20260605!$B:$B,sum_pos_20260605!$A3,INDEX(result_20260605!$A:$Z,0,MATCH(sum_pos_20260605!K$1,result_20260605!$1:$1,0)))</f>
        <v>0</v>
      </c>
      <c r="L3">
        <f>SUMIF(result_20260605!$B:$B,sum_pos_20260605!$A3,INDEX(result_20260605!$A:$Z,0,MATCH(sum_pos_20260605!L$1,result_20260605!$1:$1,0)))</f>
        <v>0</v>
      </c>
      <c r="M3">
        <f>SUMIF(result_20260605!$B:$B,sum_pos_20260605!$A3,INDEX(result_20260605!$A:$Z,0,MATCH(sum_pos_20260605!M$1,result_20260605!$1:$1,0)))</f>
        <v>0</v>
      </c>
      <c r="N3">
        <f>SUMIF(result_20260605!$B:$B,sum_pos_20260605!$A3,INDEX(result_20260605!$A:$Z,0,MATCH(sum_pos_20260605!N$1,result_20260605!$1:$1,0)))</f>
        <v>0</v>
      </c>
      <c r="O3">
        <f t="shared" si="0"/>
        <v>6</v>
      </c>
      <c r="P3" s="8">
        <f t="shared" si="1"/>
        <v>0.5</v>
      </c>
    </row>
    <row r="4" spans="1:16">
      <c r="A4" t="s">
        <v>8</v>
      </c>
      <c r="B4">
        <f>SUMIF(result_20260605!$B:$B,sum_pos_20260605!$A4,INDEX(result_20260605!$A:$Z,0,MATCH(sum_pos_20260605!B$1,result_20260605!$1:$1,0)))</f>
        <v>3</v>
      </c>
      <c r="C4">
        <f>SUMIF(result_20260605!$B:$B,sum_pos_20260605!$A4,INDEX(result_20260605!$A:$Z,0,MATCH(sum_pos_20260605!C$1,result_20260605!$1:$1,0)))</f>
        <v>5</v>
      </c>
      <c r="D4">
        <f>SUMIF(result_20260605!$B:$B,sum_pos_20260605!$A4,INDEX(result_20260605!$A:$Z,0,MATCH(sum_pos_20260605!D$1,result_20260605!$1:$1,0)))</f>
        <v>0</v>
      </c>
      <c r="E4">
        <f>SUMIF(result_20260605!$B:$B,sum_pos_20260605!$A4,INDEX(result_20260605!$A:$Z,0,MATCH(sum_pos_20260605!E$1,result_20260605!$1:$1,0)))</f>
        <v>16</v>
      </c>
      <c r="F4">
        <f>SUMIF(result_20260605!$B:$B,sum_pos_20260605!$A4,INDEX(result_20260605!$A:$Z,0,MATCH(sum_pos_20260605!F$1,result_20260605!$1:$1,0)))</f>
        <v>5</v>
      </c>
      <c r="G4">
        <f>SUMIF(result_20260605!$B:$B,sum_pos_20260605!$A4,INDEX(result_20260605!$A:$Z,0,MATCH(sum_pos_20260605!G$1,result_20260605!$1:$1,0)))</f>
        <v>1</v>
      </c>
      <c r="H4">
        <f>SUMIF(result_20260605!$B:$B,sum_pos_20260605!$A4,INDEX(result_20260605!$A:$Z,0,MATCH(sum_pos_20260605!H$1,result_20260605!$1:$1,0)))</f>
        <v>0</v>
      </c>
      <c r="I4">
        <f>SUMIF(result_20260605!$B:$B,sum_pos_20260605!$A4,INDEX(result_20260605!$A:$Z,0,MATCH(sum_pos_20260605!I$1,result_20260605!$1:$1,0)))</f>
        <v>10</v>
      </c>
      <c r="J4">
        <f>SUMIF(result_20260605!$B:$B,sum_pos_20260605!$A4,INDEX(result_20260605!$A:$Z,0,MATCH(sum_pos_20260605!J$1,result_20260605!$1:$1,0)))</f>
        <v>0</v>
      </c>
      <c r="K4">
        <f>SUMIF(result_20260605!$B:$B,sum_pos_20260605!$A4,INDEX(result_20260605!$A:$Z,0,MATCH(sum_pos_20260605!K$1,result_20260605!$1:$1,0)))</f>
        <v>0</v>
      </c>
      <c r="L4">
        <f>SUMIF(result_20260605!$B:$B,sum_pos_20260605!$A4,INDEX(result_20260605!$A:$Z,0,MATCH(sum_pos_20260605!L$1,result_20260605!$1:$1,0)))</f>
        <v>1</v>
      </c>
      <c r="M4">
        <f>SUMIF(result_20260605!$B:$B,sum_pos_20260605!$A4,INDEX(result_20260605!$A:$Z,0,MATCH(sum_pos_20260605!M$1,result_20260605!$1:$1,0)))</f>
        <v>4</v>
      </c>
      <c r="N4">
        <f>SUMIF(result_20260605!$B:$B,sum_pos_20260605!$A4,INDEX(result_20260605!$A:$Z,0,MATCH(sum_pos_20260605!N$1,result_20260605!$1:$1,0)))</f>
        <v>0</v>
      </c>
      <c r="O4">
        <f t="shared" si="0"/>
        <v>24</v>
      </c>
      <c r="P4" s="8">
        <f t="shared" si="1"/>
        <v>0.33333333333333331</v>
      </c>
    </row>
    <row r="5" spans="1:16">
      <c r="A5" t="s">
        <v>9</v>
      </c>
      <c r="B5">
        <f>SUMIF(result_20260605!$B:$B,sum_pos_20260605!$A5,INDEX(result_20260605!$A:$Z,0,MATCH(sum_pos_20260605!B$1,result_20260605!$1:$1,0)))</f>
        <v>4</v>
      </c>
      <c r="C5">
        <f>SUMIF(result_20260605!$B:$B,sum_pos_20260605!$A5,INDEX(result_20260605!$A:$Z,0,MATCH(sum_pos_20260605!C$1,result_20260605!$1:$1,0)))</f>
        <v>5</v>
      </c>
      <c r="D5">
        <f>SUMIF(result_20260605!$B:$B,sum_pos_20260605!$A5,INDEX(result_20260605!$A:$Z,0,MATCH(sum_pos_20260605!D$1,result_20260605!$1:$1,0)))</f>
        <v>0</v>
      </c>
      <c r="E5">
        <f>SUMIF(result_20260605!$B:$B,sum_pos_20260605!$A5,INDEX(result_20260605!$A:$Z,0,MATCH(sum_pos_20260605!E$1,result_20260605!$1:$1,0)))</f>
        <v>15</v>
      </c>
      <c r="F5">
        <f>SUMIF(result_20260605!$B:$B,sum_pos_20260605!$A5,INDEX(result_20260605!$A:$Z,0,MATCH(sum_pos_20260605!F$1,result_20260605!$1:$1,0)))</f>
        <v>5</v>
      </c>
      <c r="G5">
        <f>SUMIF(result_20260605!$B:$B,sum_pos_20260605!$A5,INDEX(result_20260605!$A:$Z,0,MATCH(sum_pos_20260605!G$1,result_20260605!$1:$1,0)))</f>
        <v>0</v>
      </c>
      <c r="H5">
        <f>SUMIF(result_20260605!$B:$B,sum_pos_20260605!$A5,INDEX(result_20260605!$A:$Z,0,MATCH(sum_pos_20260605!H$1,result_20260605!$1:$1,0)))</f>
        <v>0</v>
      </c>
      <c r="I5">
        <f>SUMIF(result_20260605!$B:$B,sum_pos_20260605!$A5,INDEX(result_20260605!$A:$Z,0,MATCH(sum_pos_20260605!I$1,result_20260605!$1:$1,0)))</f>
        <v>11</v>
      </c>
      <c r="J5">
        <f>SUMIF(result_20260605!$B:$B,sum_pos_20260605!$A5,INDEX(result_20260605!$A:$Z,0,MATCH(sum_pos_20260605!J$1,result_20260605!$1:$1,0)))</f>
        <v>0</v>
      </c>
      <c r="K5">
        <f>SUMIF(result_20260605!$B:$B,sum_pos_20260605!$A5,INDEX(result_20260605!$A:$Z,0,MATCH(sum_pos_20260605!K$1,result_20260605!$1:$1,0)))</f>
        <v>0</v>
      </c>
      <c r="L5">
        <f>SUMIF(result_20260605!$B:$B,sum_pos_20260605!$A5,INDEX(result_20260605!$A:$Z,0,MATCH(sum_pos_20260605!L$1,result_20260605!$1:$1,0)))</f>
        <v>3</v>
      </c>
      <c r="M5">
        <f>SUMIF(result_20260605!$B:$B,sum_pos_20260605!$A5,INDEX(result_20260605!$A:$Z,0,MATCH(sum_pos_20260605!M$1,result_20260605!$1:$1,0)))</f>
        <v>1</v>
      </c>
      <c r="N5">
        <f>SUMIF(result_20260605!$B:$B,sum_pos_20260605!$A5,INDEX(result_20260605!$A:$Z,0,MATCH(sum_pos_20260605!N$1,result_20260605!$1:$1,0)))</f>
        <v>0</v>
      </c>
      <c r="O5">
        <f t="shared" si="0"/>
        <v>24</v>
      </c>
      <c r="P5" s="8">
        <f t="shared" si="1"/>
        <v>0.375</v>
      </c>
    </row>
    <row r="6" spans="1:16">
      <c r="A6" t="s">
        <v>10</v>
      </c>
      <c r="B6">
        <f>SUMIF(result_20260605!$B:$B,sum_pos_20260605!$A6,INDEX(result_20260605!$A:$Z,0,MATCH(sum_pos_20260605!B$1,result_20260605!$1:$1,0)))</f>
        <v>3</v>
      </c>
      <c r="C6">
        <f>SUMIF(result_20260605!$B:$B,sum_pos_20260605!$A6,INDEX(result_20260605!$A:$Z,0,MATCH(sum_pos_20260605!C$1,result_20260605!$1:$1,0)))</f>
        <v>0</v>
      </c>
      <c r="D6">
        <f>SUMIF(result_20260605!$B:$B,sum_pos_20260605!$A6,INDEX(result_20260605!$A:$Z,0,MATCH(sum_pos_20260605!D$1,result_20260605!$1:$1,0)))</f>
        <v>0</v>
      </c>
      <c r="E6">
        <f>SUMIF(result_20260605!$B:$B,sum_pos_20260605!$A6,INDEX(result_20260605!$A:$Z,0,MATCH(sum_pos_20260605!E$1,result_20260605!$1:$1,0)))</f>
        <v>3</v>
      </c>
      <c r="F6">
        <f>SUMIF(result_20260605!$B:$B,sum_pos_20260605!$A6,INDEX(result_20260605!$A:$Z,0,MATCH(sum_pos_20260605!F$1,result_20260605!$1:$1,0)))</f>
        <v>0</v>
      </c>
      <c r="G6">
        <f>SUMIF(result_20260605!$B:$B,sum_pos_20260605!$A6,INDEX(result_20260605!$A:$Z,0,MATCH(sum_pos_20260605!G$1,result_20260605!$1:$1,0)))</f>
        <v>0</v>
      </c>
      <c r="H6">
        <f>SUMIF(result_20260605!$B:$B,sum_pos_20260605!$A6,INDEX(result_20260605!$A:$Z,0,MATCH(sum_pos_20260605!H$1,result_20260605!$1:$1,0)))</f>
        <v>0</v>
      </c>
      <c r="I6">
        <f>SUMIF(result_20260605!$B:$B,sum_pos_20260605!$A6,INDEX(result_20260605!$A:$Z,0,MATCH(sum_pos_20260605!I$1,result_20260605!$1:$1,0)))</f>
        <v>3</v>
      </c>
      <c r="J6">
        <f>SUMIF(result_20260605!$B:$B,sum_pos_20260605!$A6,INDEX(result_20260605!$A:$Z,0,MATCH(sum_pos_20260605!J$1,result_20260605!$1:$1,0)))</f>
        <v>0</v>
      </c>
      <c r="K6">
        <f>SUMIF(result_20260605!$B:$B,sum_pos_20260605!$A6,INDEX(result_20260605!$A:$Z,0,MATCH(sum_pos_20260605!K$1,result_20260605!$1:$1,0)))</f>
        <v>0</v>
      </c>
      <c r="L6">
        <f>SUMIF(result_20260605!$B:$B,sum_pos_20260605!$A6,INDEX(result_20260605!$A:$Z,0,MATCH(sum_pos_20260605!L$1,result_20260605!$1:$1,0)))</f>
        <v>0</v>
      </c>
      <c r="M6">
        <f>SUMIF(result_20260605!$B:$B,sum_pos_20260605!$A6,INDEX(result_20260605!$A:$Z,0,MATCH(sum_pos_20260605!M$1,result_20260605!$1:$1,0)))</f>
        <v>0</v>
      </c>
      <c r="N6">
        <f>SUMIF(result_20260605!$B:$B,sum_pos_20260605!$A6,INDEX(result_20260605!$A:$Z,0,MATCH(sum_pos_20260605!N$1,result_20260605!$1:$1,0)))</f>
        <v>0</v>
      </c>
      <c r="O6">
        <f t="shared" si="0"/>
        <v>6</v>
      </c>
      <c r="P6" s="8">
        <f t="shared" si="1"/>
        <v>0.5</v>
      </c>
    </row>
    <row r="7" spans="1:16">
      <c r="A7" t="s">
        <v>11</v>
      </c>
      <c r="B7">
        <f>SUMIF(result_20260605!$B:$B,sum_pos_20260605!$A7,INDEX(result_20260605!$A:$Z,0,MATCH(sum_pos_20260605!B$1,result_20260605!$1:$1,0)))</f>
        <v>3</v>
      </c>
      <c r="C7">
        <f>SUMIF(result_20260605!$B:$B,sum_pos_20260605!$A7,INDEX(result_20260605!$A:$Z,0,MATCH(sum_pos_20260605!C$1,result_20260605!$1:$1,0)))</f>
        <v>9</v>
      </c>
      <c r="D7">
        <f>SUMIF(result_20260605!$B:$B,sum_pos_20260605!$A7,INDEX(result_20260605!$A:$Z,0,MATCH(sum_pos_20260605!D$1,result_20260605!$1:$1,0)))</f>
        <v>0</v>
      </c>
      <c r="E7">
        <f>SUMIF(result_20260605!$B:$B,sum_pos_20260605!$A7,INDEX(result_20260605!$A:$Z,0,MATCH(sum_pos_20260605!E$1,result_20260605!$1:$1,0)))</f>
        <v>12</v>
      </c>
      <c r="F7">
        <f>SUMIF(result_20260605!$B:$B,sum_pos_20260605!$A7,INDEX(result_20260605!$A:$Z,0,MATCH(sum_pos_20260605!F$1,result_20260605!$1:$1,0)))</f>
        <v>8</v>
      </c>
      <c r="G7">
        <f>SUMIF(result_20260605!$B:$B,sum_pos_20260605!$A7,INDEX(result_20260605!$A:$Z,0,MATCH(sum_pos_20260605!G$1,result_20260605!$1:$1,0)))</f>
        <v>0</v>
      </c>
      <c r="H7">
        <f>SUMIF(result_20260605!$B:$B,sum_pos_20260605!$A7,INDEX(result_20260605!$A:$Z,0,MATCH(sum_pos_20260605!H$1,result_20260605!$1:$1,0)))</f>
        <v>0</v>
      </c>
      <c r="I7">
        <f>SUMIF(result_20260605!$B:$B,sum_pos_20260605!$A7,INDEX(result_20260605!$A:$Z,0,MATCH(sum_pos_20260605!I$1,result_20260605!$1:$1,0)))</f>
        <v>10</v>
      </c>
      <c r="J7">
        <f>SUMIF(result_20260605!$B:$B,sum_pos_20260605!$A7,INDEX(result_20260605!$A:$Z,0,MATCH(sum_pos_20260605!J$1,result_20260605!$1:$1,0)))</f>
        <v>0</v>
      </c>
      <c r="K7">
        <f>SUMIF(result_20260605!$B:$B,sum_pos_20260605!$A7,INDEX(result_20260605!$A:$Z,0,MATCH(sum_pos_20260605!K$1,result_20260605!$1:$1,0)))</f>
        <v>0</v>
      </c>
      <c r="L7">
        <f>SUMIF(result_20260605!$B:$B,sum_pos_20260605!$A7,INDEX(result_20260605!$A:$Z,0,MATCH(sum_pos_20260605!L$1,result_20260605!$1:$1,0)))</f>
        <v>1</v>
      </c>
      <c r="M7">
        <f>SUMIF(result_20260605!$B:$B,sum_pos_20260605!$A7,INDEX(result_20260605!$A:$Z,0,MATCH(sum_pos_20260605!M$1,result_20260605!$1:$1,0)))</f>
        <v>1</v>
      </c>
      <c r="N7">
        <f>SUMIF(result_20260605!$B:$B,sum_pos_20260605!$A7,INDEX(result_20260605!$A:$Z,0,MATCH(sum_pos_20260605!N$1,result_20260605!$1:$1,0)))</f>
        <v>1</v>
      </c>
      <c r="O7">
        <f t="shared" si="0"/>
        <v>24</v>
      </c>
      <c r="P7" s="8">
        <f t="shared" si="1"/>
        <v>0.5</v>
      </c>
    </row>
    <row r="8" spans="1:16">
      <c r="A8" t="s">
        <v>12</v>
      </c>
      <c r="B8">
        <f>SUMIF(result_20260605!$B:$B,sum_pos_20260605!$A8,INDEX(result_20260605!$A:$Z,0,MATCH(sum_pos_20260605!B$1,result_20260605!$1:$1,0)))</f>
        <v>0</v>
      </c>
      <c r="C8">
        <f>SUMIF(result_20260605!$B:$B,sum_pos_20260605!$A8,INDEX(result_20260605!$A:$Z,0,MATCH(sum_pos_20260605!C$1,result_20260605!$1:$1,0)))</f>
        <v>8</v>
      </c>
      <c r="D8">
        <f>SUMIF(result_20260605!$B:$B,sum_pos_20260605!$A8,INDEX(result_20260605!$A:$Z,0,MATCH(sum_pos_20260605!D$1,result_20260605!$1:$1,0)))</f>
        <v>0</v>
      </c>
      <c r="E8">
        <f>SUMIF(result_20260605!$B:$B,sum_pos_20260605!$A8,INDEX(result_20260605!$A:$Z,0,MATCH(sum_pos_20260605!E$1,result_20260605!$1:$1,0)))</f>
        <v>16</v>
      </c>
      <c r="F8">
        <f>SUMIF(result_20260605!$B:$B,sum_pos_20260605!$A8,INDEX(result_20260605!$A:$Z,0,MATCH(sum_pos_20260605!F$1,result_20260605!$1:$1,0)))</f>
        <v>4</v>
      </c>
      <c r="G8">
        <f>SUMIF(result_20260605!$B:$B,sum_pos_20260605!$A8,INDEX(result_20260605!$A:$Z,0,MATCH(sum_pos_20260605!G$1,result_20260605!$1:$1,0)))</f>
        <v>0</v>
      </c>
      <c r="H8">
        <f>SUMIF(result_20260605!$B:$B,sum_pos_20260605!$A8,INDEX(result_20260605!$A:$Z,0,MATCH(sum_pos_20260605!H$1,result_20260605!$1:$1,0)))</f>
        <v>0</v>
      </c>
      <c r="I8">
        <f>SUMIF(result_20260605!$B:$B,sum_pos_20260605!$A8,INDEX(result_20260605!$A:$Z,0,MATCH(sum_pos_20260605!I$1,result_20260605!$1:$1,0)))</f>
        <v>11</v>
      </c>
      <c r="J8">
        <f>SUMIF(result_20260605!$B:$B,sum_pos_20260605!$A8,INDEX(result_20260605!$A:$Z,0,MATCH(sum_pos_20260605!J$1,result_20260605!$1:$1,0)))</f>
        <v>1</v>
      </c>
      <c r="K8">
        <f>SUMIF(result_20260605!$B:$B,sum_pos_20260605!$A8,INDEX(result_20260605!$A:$Z,0,MATCH(sum_pos_20260605!K$1,result_20260605!$1:$1,0)))</f>
        <v>0</v>
      </c>
      <c r="L8">
        <f>SUMIF(result_20260605!$B:$B,sum_pos_20260605!$A8,INDEX(result_20260605!$A:$Z,0,MATCH(sum_pos_20260605!L$1,result_20260605!$1:$1,0)))</f>
        <v>3</v>
      </c>
      <c r="M8">
        <f>SUMIF(result_20260605!$B:$B,sum_pos_20260605!$A8,INDEX(result_20260605!$A:$Z,0,MATCH(sum_pos_20260605!M$1,result_20260605!$1:$1,0)))</f>
        <v>1</v>
      </c>
      <c r="N8">
        <f>SUMIF(result_20260605!$B:$B,sum_pos_20260605!$A8,INDEX(result_20260605!$A:$Z,0,MATCH(sum_pos_20260605!N$1,result_20260605!$1:$1,0)))</f>
        <v>4</v>
      </c>
      <c r="O8">
        <f t="shared" si="0"/>
        <v>24</v>
      </c>
      <c r="P8" s="8">
        <f t="shared" si="1"/>
        <v>0.33333333333333331</v>
      </c>
    </row>
    <row r="9" spans="1:16">
      <c r="A9" t="s">
        <v>13</v>
      </c>
      <c r="B9">
        <f>SUMIF(result_20260605!$B:$B,sum_pos_20260605!$A9,INDEX(result_20260605!$A:$Z,0,MATCH(sum_pos_20260605!B$1,result_20260605!$1:$1,0)))</f>
        <v>1</v>
      </c>
      <c r="C9">
        <f>SUMIF(result_20260605!$B:$B,sum_pos_20260605!$A9,INDEX(result_20260605!$A:$Z,0,MATCH(sum_pos_20260605!C$1,result_20260605!$1:$1,0)))</f>
        <v>0</v>
      </c>
      <c r="D9">
        <f>SUMIF(result_20260605!$B:$B,sum_pos_20260605!$A9,INDEX(result_20260605!$A:$Z,0,MATCH(sum_pos_20260605!D$1,result_20260605!$1:$1,0)))</f>
        <v>0</v>
      </c>
      <c r="E9">
        <f>SUMIF(result_20260605!$B:$B,sum_pos_20260605!$A9,INDEX(result_20260605!$A:$Z,0,MATCH(sum_pos_20260605!E$1,result_20260605!$1:$1,0)))</f>
        <v>5</v>
      </c>
      <c r="F9">
        <f>SUMIF(result_20260605!$B:$B,sum_pos_20260605!$A9,INDEX(result_20260605!$A:$Z,0,MATCH(sum_pos_20260605!F$1,result_20260605!$1:$1,0)))</f>
        <v>0</v>
      </c>
      <c r="G9">
        <f>SUMIF(result_20260605!$B:$B,sum_pos_20260605!$A9,INDEX(result_20260605!$A:$Z,0,MATCH(sum_pos_20260605!G$1,result_20260605!$1:$1,0)))</f>
        <v>0</v>
      </c>
      <c r="H9">
        <f>SUMIF(result_20260605!$B:$B,sum_pos_20260605!$A9,INDEX(result_20260605!$A:$Z,0,MATCH(sum_pos_20260605!H$1,result_20260605!$1:$1,0)))</f>
        <v>0</v>
      </c>
      <c r="I9">
        <f>SUMIF(result_20260605!$B:$B,sum_pos_20260605!$A9,INDEX(result_20260605!$A:$Z,0,MATCH(sum_pos_20260605!I$1,result_20260605!$1:$1,0)))</f>
        <v>5</v>
      </c>
      <c r="J9">
        <f>SUMIF(result_20260605!$B:$B,sum_pos_20260605!$A9,INDEX(result_20260605!$A:$Z,0,MATCH(sum_pos_20260605!J$1,result_20260605!$1:$1,0)))</f>
        <v>0</v>
      </c>
      <c r="K9">
        <f>SUMIF(result_20260605!$B:$B,sum_pos_20260605!$A9,INDEX(result_20260605!$A:$Z,0,MATCH(sum_pos_20260605!K$1,result_20260605!$1:$1,0)))</f>
        <v>0</v>
      </c>
      <c r="L9">
        <f>SUMIF(result_20260605!$B:$B,sum_pos_20260605!$A9,INDEX(result_20260605!$A:$Z,0,MATCH(sum_pos_20260605!L$1,result_20260605!$1:$1,0)))</f>
        <v>0</v>
      </c>
      <c r="M9">
        <f>SUMIF(result_20260605!$B:$B,sum_pos_20260605!$A9,INDEX(result_20260605!$A:$Z,0,MATCH(sum_pos_20260605!M$1,result_20260605!$1:$1,0)))</f>
        <v>0</v>
      </c>
      <c r="N9">
        <f>SUMIF(result_20260605!$B:$B,sum_pos_20260605!$A9,INDEX(result_20260605!$A:$Z,0,MATCH(sum_pos_20260605!N$1,result_20260605!$1:$1,0)))</f>
        <v>0</v>
      </c>
      <c r="O9">
        <f t="shared" si="0"/>
        <v>6</v>
      </c>
      <c r="P9" s="8">
        <f t="shared" si="1"/>
        <v>0.16666666666666666</v>
      </c>
    </row>
    <row r="10" spans="1:16">
      <c r="A10" t="s">
        <v>14</v>
      </c>
      <c r="B10">
        <f>SUMIF(result_20260605!$B:$B,sum_pos_20260605!$A10,INDEX(result_20260605!$A:$Z,0,MATCH(sum_pos_20260605!B$1,result_20260605!$1:$1,0)))</f>
        <v>5</v>
      </c>
      <c r="C10">
        <f>SUMIF(result_20260605!$B:$B,sum_pos_20260605!$A10,INDEX(result_20260605!$A:$Z,0,MATCH(sum_pos_20260605!C$1,result_20260605!$1:$1,0)))</f>
        <v>5</v>
      </c>
      <c r="D10">
        <f>SUMIF(result_20260605!$B:$B,sum_pos_20260605!$A10,INDEX(result_20260605!$A:$Z,0,MATCH(sum_pos_20260605!D$1,result_20260605!$1:$1,0)))</f>
        <v>0</v>
      </c>
      <c r="E10">
        <f>SUMIF(result_20260605!$B:$B,sum_pos_20260605!$A10,INDEX(result_20260605!$A:$Z,0,MATCH(sum_pos_20260605!E$1,result_20260605!$1:$1,0)))</f>
        <v>14</v>
      </c>
      <c r="F10">
        <f>SUMIF(result_20260605!$B:$B,sum_pos_20260605!$A10,INDEX(result_20260605!$A:$Z,0,MATCH(sum_pos_20260605!F$1,result_20260605!$1:$1,0)))</f>
        <v>4</v>
      </c>
      <c r="G10">
        <f>SUMIF(result_20260605!$B:$B,sum_pos_20260605!$A10,INDEX(result_20260605!$A:$Z,0,MATCH(sum_pos_20260605!G$1,result_20260605!$1:$1,0)))</f>
        <v>0</v>
      </c>
      <c r="H10">
        <f>SUMIF(result_20260605!$B:$B,sum_pos_20260605!$A10,INDEX(result_20260605!$A:$Z,0,MATCH(sum_pos_20260605!H$1,result_20260605!$1:$1,0)))</f>
        <v>0</v>
      </c>
      <c r="I10">
        <f>SUMIF(result_20260605!$B:$B,sum_pos_20260605!$A10,INDEX(result_20260605!$A:$Z,0,MATCH(sum_pos_20260605!I$1,result_20260605!$1:$1,0)))</f>
        <v>7</v>
      </c>
      <c r="J10">
        <f>SUMIF(result_20260605!$B:$B,sum_pos_20260605!$A10,INDEX(result_20260605!$A:$Z,0,MATCH(sum_pos_20260605!J$1,result_20260605!$1:$1,0)))</f>
        <v>1</v>
      </c>
      <c r="K10">
        <f>SUMIF(result_20260605!$B:$B,sum_pos_20260605!$A10,INDEX(result_20260605!$A:$Z,0,MATCH(sum_pos_20260605!K$1,result_20260605!$1:$1,0)))</f>
        <v>0</v>
      </c>
      <c r="L10">
        <f>SUMIF(result_20260605!$B:$B,sum_pos_20260605!$A10,INDEX(result_20260605!$A:$Z,0,MATCH(sum_pos_20260605!L$1,result_20260605!$1:$1,0)))</f>
        <v>4</v>
      </c>
      <c r="M10">
        <f>SUMIF(result_20260605!$B:$B,sum_pos_20260605!$A10,INDEX(result_20260605!$A:$Z,0,MATCH(sum_pos_20260605!M$1,result_20260605!$1:$1,0)))</f>
        <v>2</v>
      </c>
      <c r="N10">
        <f>SUMIF(result_20260605!$B:$B,sum_pos_20260605!$A10,INDEX(result_20260605!$A:$Z,0,MATCH(sum_pos_20260605!N$1,result_20260605!$1:$1,0)))</f>
        <v>1</v>
      </c>
      <c r="O10">
        <f t="shared" si="0"/>
        <v>24</v>
      </c>
      <c r="P10" s="8">
        <f t="shared" si="1"/>
        <v>0.41666666666666669</v>
      </c>
    </row>
    <row r="11" spans="1:16">
      <c r="A11" s="24" t="s">
        <v>35</v>
      </c>
      <c r="B11" s="24">
        <f>SUM(B2:B10)</f>
        <v>25</v>
      </c>
      <c r="C11" s="24">
        <f t="shared" ref="C11:O11" si="2">SUM(C2:C10)</f>
        <v>40</v>
      </c>
      <c r="D11" s="24">
        <f t="shared" si="2"/>
        <v>0</v>
      </c>
      <c r="E11" s="24">
        <f t="shared" si="2"/>
        <v>97</v>
      </c>
      <c r="F11" s="24">
        <f t="shared" si="2"/>
        <v>34</v>
      </c>
      <c r="G11" s="24">
        <f t="shared" si="2"/>
        <v>1</v>
      </c>
      <c r="H11" s="24">
        <f t="shared" si="2"/>
        <v>0</v>
      </c>
      <c r="I11" s="24">
        <f t="shared" si="2"/>
        <v>70</v>
      </c>
      <c r="J11" s="24">
        <f t="shared" si="2"/>
        <v>2</v>
      </c>
      <c r="K11" s="24">
        <f t="shared" si="2"/>
        <v>0</v>
      </c>
      <c r="L11" s="24">
        <f t="shared" si="2"/>
        <v>14</v>
      </c>
      <c r="M11" s="24">
        <f t="shared" si="2"/>
        <v>10</v>
      </c>
      <c r="N11" s="24">
        <f t="shared" si="2"/>
        <v>6</v>
      </c>
      <c r="O11" s="24">
        <f t="shared" si="2"/>
        <v>162</v>
      </c>
      <c r="P11" s="25">
        <f t="shared" ref="P11" si="3">SUM(B11+C11)/O11</f>
        <v>0.40123456790123457</v>
      </c>
    </row>
    <row r="13" spans="1:16">
      <c r="A13" t="s">
        <v>75</v>
      </c>
    </row>
    <row r="14" spans="1:16">
      <c r="A14" s="24" t="s">
        <v>3</v>
      </c>
      <c r="B14" s="24" t="s">
        <v>0</v>
      </c>
      <c r="C14" s="24" t="s">
        <v>16</v>
      </c>
      <c r="D14" s="24" t="s">
        <v>21</v>
      </c>
      <c r="E14" s="24" t="s">
        <v>17</v>
      </c>
      <c r="F14" s="24" t="s">
        <v>69</v>
      </c>
      <c r="G14" s="24" t="s">
        <v>1</v>
      </c>
      <c r="H14" s="24" t="s">
        <v>20</v>
      </c>
      <c r="I14" s="24" t="s">
        <v>62</v>
      </c>
      <c r="J14" s="24" t="s">
        <v>2</v>
      </c>
      <c r="K14" s="24" t="s">
        <v>18</v>
      </c>
      <c r="L14" s="24" t="s">
        <v>23</v>
      </c>
      <c r="M14" s="24" t="s">
        <v>19</v>
      </c>
      <c r="N14" s="24" t="s">
        <v>70</v>
      </c>
      <c r="O14" s="24" t="s">
        <v>33</v>
      </c>
      <c r="P14" s="25" t="s">
        <v>34</v>
      </c>
    </row>
    <row r="15" spans="1:16">
      <c r="A15" t="s">
        <v>6</v>
      </c>
      <c r="B15">
        <f>SUMIF(result_20260605!$B:$B,sum_pos_20260605!$A15,INDEX(result_20260605!$A:$Z,0,MATCH(sum_pos_20260605!B$1,result_20260605!$1:$1,0)))</f>
        <v>3</v>
      </c>
      <c r="C15">
        <f>SUMIF(result_20260605!$B:$B,sum_pos_20260605!$A15,INDEX(result_20260605!$A:$Z,0,MATCH(sum_pos_20260605!C$1,result_20260605!$1:$1,0)))</f>
        <v>8</v>
      </c>
      <c r="D15">
        <f>SUMIF(result_20260605!$B:$B,sum_pos_20260605!$A15,INDEX(result_20260605!$A:$Z,0,MATCH(sum_pos_20260605!D$1,result_20260605!$1:$1,0)))</f>
        <v>0</v>
      </c>
      <c r="E15">
        <f>SUMIF(result_20260605!$B:$B,sum_pos_20260605!$A15,INDEX(result_20260605!$A:$Z,0,MATCH(sum_pos_20260605!E$1,result_20260605!$1:$1,0)))</f>
        <v>13</v>
      </c>
      <c r="F15">
        <f>SUMIF(result_20260605!$B:$B,sum_pos_20260605!$A15,INDEX(result_20260605!$A:$Z,0,MATCH(sum_pos_20260605!F$1,result_20260605!$1:$1,0)))</f>
        <v>8</v>
      </c>
      <c r="G15">
        <f>SUMIF(result_20260605!$B:$B,sum_pos_20260605!$A15,INDEX(result_20260605!$A:$Z,0,MATCH(sum_pos_20260605!G$1,result_20260605!$1:$1,0)))</f>
        <v>0</v>
      </c>
      <c r="H15">
        <f>SUMIF(result_20260605!$B:$B,sum_pos_20260605!$A15,INDEX(result_20260605!$A:$Z,0,MATCH(sum_pos_20260605!H$1,result_20260605!$1:$1,0)))</f>
        <v>0</v>
      </c>
      <c r="I15">
        <f>SUMIF(result_20260605!$B:$B,sum_pos_20260605!$A15,INDEX(result_20260605!$A:$Z,0,MATCH(sum_pos_20260605!I$1,result_20260605!$1:$1,0)))</f>
        <v>10</v>
      </c>
      <c r="J15">
        <f>SUMIF(result_20260605!$B:$B,sum_pos_20260605!$A15,INDEX(result_20260605!$A:$Z,0,MATCH(sum_pos_20260605!J$1,result_20260605!$1:$1,0)))</f>
        <v>0</v>
      </c>
      <c r="K15">
        <f>SUMIF(result_20260605!$B:$B,sum_pos_20260605!$A15,INDEX(result_20260605!$A:$Z,0,MATCH(sum_pos_20260605!K$1,result_20260605!$1:$1,0)))</f>
        <v>0</v>
      </c>
      <c r="L15">
        <f>SUMIF(result_20260605!$B:$B,sum_pos_20260605!$A15,INDEX(result_20260605!$A:$Z,0,MATCH(sum_pos_20260605!L$1,result_20260605!$1:$1,0)))</f>
        <v>2</v>
      </c>
      <c r="M15">
        <f>SUMIF(result_20260605!$B:$B,sum_pos_20260605!$A15,INDEX(result_20260605!$A:$Z,0,MATCH(sum_pos_20260605!M$1,result_20260605!$1:$1,0)))</f>
        <v>1</v>
      </c>
      <c r="N15">
        <f>SUMIF(result_20260605!$B:$B,sum_pos_20260605!$A15,INDEX(result_20260605!$A:$Z,0,MATCH(sum_pos_20260605!N$1,result_20260605!$1:$1,0)))</f>
        <v>0</v>
      </c>
      <c r="O15">
        <f t="shared" ref="O15:O20" si="4">SUM(B15:E15)</f>
        <v>24</v>
      </c>
      <c r="P15" s="8">
        <f t="shared" ref="P15:P20" si="5">SUM(B15:C15)/O15</f>
        <v>0.45833333333333331</v>
      </c>
    </row>
    <row r="16" spans="1:16">
      <c r="A16" t="s">
        <v>8</v>
      </c>
      <c r="B16">
        <f>SUMIF(result_20260605!$B:$B,sum_pos_20260605!$A16,INDEX(result_20260605!$A:$Z,0,MATCH(sum_pos_20260605!B$1,result_20260605!$1:$1,0)))</f>
        <v>3</v>
      </c>
      <c r="C16">
        <f>SUMIF(result_20260605!$B:$B,sum_pos_20260605!$A16,INDEX(result_20260605!$A:$Z,0,MATCH(sum_pos_20260605!C$1,result_20260605!$1:$1,0)))</f>
        <v>5</v>
      </c>
      <c r="D16">
        <f>SUMIF(result_20260605!$B:$B,sum_pos_20260605!$A16,INDEX(result_20260605!$A:$Z,0,MATCH(sum_pos_20260605!D$1,result_20260605!$1:$1,0)))</f>
        <v>0</v>
      </c>
      <c r="E16">
        <f>SUMIF(result_20260605!$B:$B,sum_pos_20260605!$A16,INDEX(result_20260605!$A:$Z,0,MATCH(sum_pos_20260605!E$1,result_20260605!$1:$1,0)))</f>
        <v>16</v>
      </c>
      <c r="F16">
        <f>SUMIF(result_20260605!$B:$B,sum_pos_20260605!$A16,INDEX(result_20260605!$A:$Z,0,MATCH(sum_pos_20260605!F$1,result_20260605!$1:$1,0)))</f>
        <v>5</v>
      </c>
      <c r="G16">
        <f>SUMIF(result_20260605!$B:$B,sum_pos_20260605!$A16,INDEX(result_20260605!$A:$Z,0,MATCH(sum_pos_20260605!G$1,result_20260605!$1:$1,0)))</f>
        <v>1</v>
      </c>
      <c r="H16">
        <f>SUMIF(result_20260605!$B:$B,sum_pos_20260605!$A16,INDEX(result_20260605!$A:$Z,0,MATCH(sum_pos_20260605!H$1,result_20260605!$1:$1,0)))</f>
        <v>0</v>
      </c>
      <c r="I16">
        <f>SUMIF(result_20260605!$B:$B,sum_pos_20260605!$A16,INDEX(result_20260605!$A:$Z,0,MATCH(sum_pos_20260605!I$1,result_20260605!$1:$1,0)))</f>
        <v>10</v>
      </c>
      <c r="J16">
        <f>SUMIF(result_20260605!$B:$B,sum_pos_20260605!$A16,INDEX(result_20260605!$A:$Z,0,MATCH(sum_pos_20260605!J$1,result_20260605!$1:$1,0)))</f>
        <v>0</v>
      </c>
      <c r="K16">
        <f>SUMIF(result_20260605!$B:$B,sum_pos_20260605!$A16,INDEX(result_20260605!$A:$Z,0,MATCH(sum_pos_20260605!K$1,result_20260605!$1:$1,0)))</f>
        <v>0</v>
      </c>
      <c r="L16">
        <f>SUMIF(result_20260605!$B:$B,sum_pos_20260605!$A16,INDEX(result_20260605!$A:$Z,0,MATCH(sum_pos_20260605!L$1,result_20260605!$1:$1,0)))</f>
        <v>1</v>
      </c>
      <c r="M16">
        <f>SUMIF(result_20260605!$B:$B,sum_pos_20260605!$A16,INDEX(result_20260605!$A:$Z,0,MATCH(sum_pos_20260605!M$1,result_20260605!$1:$1,0)))</f>
        <v>4</v>
      </c>
      <c r="N16">
        <f>SUMIF(result_20260605!$B:$B,sum_pos_20260605!$A16,INDEX(result_20260605!$A:$Z,0,MATCH(sum_pos_20260605!N$1,result_20260605!$1:$1,0)))</f>
        <v>0</v>
      </c>
      <c r="O16">
        <f t="shared" si="4"/>
        <v>24</v>
      </c>
      <c r="P16" s="8">
        <f t="shared" si="5"/>
        <v>0.33333333333333331</v>
      </c>
    </row>
    <row r="17" spans="1:16">
      <c r="A17" t="s">
        <v>9</v>
      </c>
      <c r="B17">
        <f>SUMIF(result_20260605!$B:$B,sum_pos_20260605!$A17,INDEX(result_20260605!$A:$Z,0,MATCH(sum_pos_20260605!B$1,result_20260605!$1:$1,0)))</f>
        <v>4</v>
      </c>
      <c r="C17">
        <f>SUMIF(result_20260605!$B:$B,sum_pos_20260605!$A17,INDEX(result_20260605!$A:$Z,0,MATCH(sum_pos_20260605!C$1,result_20260605!$1:$1,0)))</f>
        <v>5</v>
      </c>
      <c r="D17">
        <f>SUMIF(result_20260605!$B:$B,sum_pos_20260605!$A17,INDEX(result_20260605!$A:$Z,0,MATCH(sum_pos_20260605!D$1,result_20260605!$1:$1,0)))</f>
        <v>0</v>
      </c>
      <c r="E17">
        <f>SUMIF(result_20260605!$B:$B,sum_pos_20260605!$A17,INDEX(result_20260605!$A:$Z,0,MATCH(sum_pos_20260605!E$1,result_20260605!$1:$1,0)))</f>
        <v>15</v>
      </c>
      <c r="F17">
        <f>SUMIF(result_20260605!$B:$B,sum_pos_20260605!$A17,INDEX(result_20260605!$A:$Z,0,MATCH(sum_pos_20260605!F$1,result_20260605!$1:$1,0)))</f>
        <v>5</v>
      </c>
      <c r="G17">
        <f>SUMIF(result_20260605!$B:$B,sum_pos_20260605!$A17,INDEX(result_20260605!$A:$Z,0,MATCH(sum_pos_20260605!G$1,result_20260605!$1:$1,0)))</f>
        <v>0</v>
      </c>
      <c r="H17">
        <f>SUMIF(result_20260605!$B:$B,sum_pos_20260605!$A17,INDEX(result_20260605!$A:$Z,0,MATCH(sum_pos_20260605!H$1,result_20260605!$1:$1,0)))</f>
        <v>0</v>
      </c>
      <c r="I17">
        <f>SUMIF(result_20260605!$B:$B,sum_pos_20260605!$A17,INDEX(result_20260605!$A:$Z,0,MATCH(sum_pos_20260605!I$1,result_20260605!$1:$1,0)))</f>
        <v>11</v>
      </c>
      <c r="J17">
        <f>SUMIF(result_20260605!$B:$B,sum_pos_20260605!$A17,INDEX(result_20260605!$A:$Z,0,MATCH(sum_pos_20260605!J$1,result_20260605!$1:$1,0)))</f>
        <v>0</v>
      </c>
      <c r="K17">
        <f>SUMIF(result_20260605!$B:$B,sum_pos_20260605!$A17,INDEX(result_20260605!$A:$Z,0,MATCH(sum_pos_20260605!K$1,result_20260605!$1:$1,0)))</f>
        <v>0</v>
      </c>
      <c r="L17">
        <f>SUMIF(result_20260605!$B:$B,sum_pos_20260605!$A17,INDEX(result_20260605!$A:$Z,0,MATCH(sum_pos_20260605!L$1,result_20260605!$1:$1,0)))</f>
        <v>3</v>
      </c>
      <c r="M17">
        <f>SUMIF(result_20260605!$B:$B,sum_pos_20260605!$A17,INDEX(result_20260605!$A:$Z,0,MATCH(sum_pos_20260605!M$1,result_20260605!$1:$1,0)))</f>
        <v>1</v>
      </c>
      <c r="N17">
        <f>SUMIF(result_20260605!$B:$B,sum_pos_20260605!$A17,INDEX(result_20260605!$A:$Z,0,MATCH(sum_pos_20260605!N$1,result_20260605!$1:$1,0)))</f>
        <v>0</v>
      </c>
      <c r="O17">
        <f t="shared" si="4"/>
        <v>24</v>
      </c>
      <c r="P17" s="8">
        <f t="shared" si="5"/>
        <v>0.375</v>
      </c>
    </row>
    <row r="18" spans="1:16">
      <c r="A18" t="s">
        <v>11</v>
      </c>
      <c r="B18">
        <f>SUMIF(result_20260605!$B:$B,sum_pos_20260605!$A18,INDEX(result_20260605!$A:$Z,0,MATCH(sum_pos_20260605!B$1,result_20260605!$1:$1,0)))</f>
        <v>3</v>
      </c>
      <c r="C18">
        <f>SUMIF(result_20260605!$B:$B,sum_pos_20260605!$A18,INDEX(result_20260605!$A:$Z,0,MATCH(sum_pos_20260605!C$1,result_20260605!$1:$1,0)))</f>
        <v>9</v>
      </c>
      <c r="D18">
        <f>SUMIF(result_20260605!$B:$B,sum_pos_20260605!$A18,INDEX(result_20260605!$A:$Z,0,MATCH(sum_pos_20260605!D$1,result_20260605!$1:$1,0)))</f>
        <v>0</v>
      </c>
      <c r="E18">
        <f>SUMIF(result_20260605!$B:$B,sum_pos_20260605!$A18,INDEX(result_20260605!$A:$Z,0,MATCH(sum_pos_20260605!E$1,result_20260605!$1:$1,0)))</f>
        <v>12</v>
      </c>
      <c r="F18">
        <f>SUMIF(result_20260605!$B:$B,sum_pos_20260605!$A18,INDEX(result_20260605!$A:$Z,0,MATCH(sum_pos_20260605!F$1,result_20260605!$1:$1,0)))</f>
        <v>8</v>
      </c>
      <c r="G18">
        <f>SUMIF(result_20260605!$B:$B,sum_pos_20260605!$A18,INDEX(result_20260605!$A:$Z,0,MATCH(sum_pos_20260605!G$1,result_20260605!$1:$1,0)))</f>
        <v>0</v>
      </c>
      <c r="H18">
        <f>SUMIF(result_20260605!$B:$B,sum_pos_20260605!$A18,INDEX(result_20260605!$A:$Z,0,MATCH(sum_pos_20260605!H$1,result_20260605!$1:$1,0)))</f>
        <v>0</v>
      </c>
      <c r="I18">
        <f>SUMIF(result_20260605!$B:$B,sum_pos_20260605!$A18,INDEX(result_20260605!$A:$Z,0,MATCH(sum_pos_20260605!I$1,result_20260605!$1:$1,0)))</f>
        <v>10</v>
      </c>
      <c r="J18">
        <f>SUMIF(result_20260605!$B:$B,sum_pos_20260605!$A18,INDEX(result_20260605!$A:$Z,0,MATCH(sum_pos_20260605!J$1,result_20260605!$1:$1,0)))</f>
        <v>0</v>
      </c>
      <c r="K18">
        <f>SUMIF(result_20260605!$B:$B,sum_pos_20260605!$A18,INDEX(result_20260605!$A:$Z,0,MATCH(sum_pos_20260605!K$1,result_20260605!$1:$1,0)))</f>
        <v>0</v>
      </c>
      <c r="L18">
        <f>SUMIF(result_20260605!$B:$B,sum_pos_20260605!$A18,INDEX(result_20260605!$A:$Z,0,MATCH(sum_pos_20260605!L$1,result_20260605!$1:$1,0)))</f>
        <v>1</v>
      </c>
      <c r="M18">
        <f>SUMIF(result_20260605!$B:$B,sum_pos_20260605!$A18,INDEX(result_20260605!$A:$Z,0,MATCH(sum_pos_20260605!M$1,result_20260605!$1:$1,0)))</f>
        <v>1</v>
      </c>
      <c r="N18">
        <f>SUMIF(result_20260605!$B:$B,sum_pos_20260605!$A18,INDEX(result_20260605!$A:$Z,0,MATCH(sum_pos_20260605!N$1,result_20260605!$1:$1,0)))</f>
        <v>1</v>
      </c>
      <c r="O18">
        <f t="shared" si="4"/>
        <v>24</v>
      </c>
      <c r="P18" s="8">
        <f t="shared" si="5"/>
        <v>0.5</v>
      </c>
    </row>
    <row r="19" spans="1:16">
      <c r="A19" t="s">
        <v>12</v>
      </c>
      <c r="B19">
        <f>SUMIF(result_20260605!$B:$B,sum_pos_20260605!$A19,INDEX(result_20260605!$A:$Z,0,MATCH(sum_pos_20260605!B$1,result_20260605!$1:$1,0)))</f>
        <v>0</v>
      </c>
      <c r="C19">
        <f>SUMIF(result_20260605!$B:$B,sum_pos_20260605!$A19,INDEX(result_20260605!$A:$Z,0,MATCH(sum_pos_20260605!C$1,result_20260605!$1:$1,0)))</f>
        <v>8</v>
      </c>
      <c r="D19">
        <f>SUMIF(result_20260605!$B:$B,sum_pos_20260605!$A19,INDEX(result_20260605!$A:$Z,0,MATCH(sum_pos_20260605!D$1,result_20260605!$1:$1,0)))</f>
        <v>0</v>
      </c>
      <c r="E19">
        <f>SUMIF(result_20260605!$B:$B,sum_pos_20260605!$A19,INDEX(result_20260605!$A:$Z,0,MATCH(sum_pos_20260605!E$1,result_20260605!$1:$1,0)))</f>
        <v>16</v>
      </c>
      <c r="F19">
        <f>SUMIF(result_20260605!$B:$B,sum_pos_20260605!$A19,INDEX(result_20260605!$A:$Z,0,MATCH(sum_pos_20260605!F$1,result_20260605!$1:$1,0)))</f>
        <v>4</v>
      </c>
      <c r="G19">
        <f>SUMIF(result_20260605!$B:$B,sum_pos_20260605!$A19,INDEX(result_20260605!$A:$Z,0,MATCH(sum_pos_20260605!G$1,result_20260605!$1:$1,0)))</f>
        <v>0</v>
      </c>
      <c r="H19">
        <f>SUMIF(result_20260605!$B:$B,sum_pos_20260605!$A19,INDEX(result_20260605!$A:$Z,0,MATCH(sum_pos_20260605!H$1,result_20260605!$1:$1,0)))</f>
        <v>0</v>
      </c>
      <c r="I19">
        <f>SUMIF(result_20260605!$B:$B,sum_pos_20260605!$A19,INDEX(result_20260605!$A:$Z,0,MATCH(sum_pos_20260605!I$1,result_20260605!$1:$1,0)))</f>
        <v>11</v>
      </c>
      <c r="J19">
        <f>SUMIF(result_20260605!$B:$B,sum_pos_20260605!$A19,INDEX(result_20260605!$A:$Z,0,MATCH(sum_pos_20260605!J$1,result_20260605!$1:$1,0)))</f>
        <v>1</v>
      </c>
      <c r="K19">
        <f>SUMIF(result_20260605!$B:$B,sum_pos_20260605!$A19,INDEX(result_20260605!$A:$Z,0,MATCH(sum_pos_20260605!K$1,result_20260605!$1:$1,0)))</f>
        <v>0</v>
      </c>
      <c r="L19">
        <f>SUMIF(result_20260605!$B:$B,sum_pos_20260605!$A19,INDEX(result_20260605!$A:$Z,0,MATCH(sum_pos_20260605!L$1,result_20260605!$1:$1,0)))</f>
        <v>3</v>
      </c>
      <c r="M19">
        <f>SUMIF(result_20260605!$B:$B,sum_pos_20260605!$A19,INDEX(result_20260605!$A:$Z,0,MATCH(sum_pos_20260605!M$1,result_20260605!$1:$1,0)))</f>
        <v>1</v>
      </c>
      <c r="N19">
        <f>SUMIF(result_20260605!$B:$B,sum_pos_20260605!$A19,INDEX(result_20260605!$A:$Z,0,MATCH(sum_pos_20260605!N$1,result_20260605!$1:$1,0)))</f>
        <v>4</v>
      </c>
      <c r="O19">
        <f t="shared" si="4"/>
        <v>24</v>
      </c>
      <c r="P19" s="8">
        <f t="shared" si="5"/>
        <v>0.33333333333333331</v>
      </c>
    </row>
    <row r="20" spans="1:16">
      <c r="A20" t="s">
        <v>14</v>
      </c>
      <c r="B20">
        <f>SUMIF(result_20260605!$B:$B,sum_pos_20260605!$A20,INDEX(result_20260605!$A:$Z,0,MATCH(sum_pos_20260605!B$1,result_20260605!$1:$1,0)))</f>
        <v>5</v>
      </c>
      <c r="C20">
        <f>SUMIF(result_20260605!$B:$B,sum_pos_20260605!$A20,INDEX(result_20260605!$A:$Z,0,MATCH(sum_pos_20260605!C$1,result_20260605!$1:$1,0)))</f>
        <v>5</v>
      </c>
      <c r="D20">
        <f>SUMIF(result_20260605!$B:$B,sum_pos_20260605!$A20,INDEX(result_20260605!$A:$Z,0,MATCH(sum_pos_20260605!D$1,result_20260605!$1:$1,0)))</f>
        <v>0</v>
      </c>
      <c r="E20">
        <f>SUMIF(result_20260605!$B:$B,sum_pos_20260605!$A20,INDEX(result_20260605!$A:$Z,0,MATCH(sum_pos_20260605!E$1,result_20260605!$1:$1,0)))</f>
        <v>14</v>
      </c>
      <c r="F20">
        <f>SUMIF(result_20260605!$B:$B,sum_pos_20260605!$A20,INDEX(result_20260605!$A:$Z,0,MATCH(sum_pos_20260605!F$1,result_20260605!$1:$1,0)))</f>
        <v>4</v>
      </c>
      <c r="G20">
        <f>SUMIF(result_20260605!$B:$B,sum_pos_20260605!$A20,INDEX(result_20260605!$A:$Z,0,MATCH(sum_pos_20260605!G$1,result_20260605!$1:$1,0)))</f>
        <v>0</v>
      </c>
      <c r="H20">
        <f>SUMIF(result_20260605!$B:$B,sum_pos_20260605!$A20,INDEX(result_20260605!$A:$Z,0,MATCH(sum_pos_20260605!H$1,result_20260605!$1:$1,0)))</f>
        <v>0</v>
      </c>
      <c r="I20">
        <f>SUMIF(result_20260605!$B:$B,sum_pos_20260605!$A20,INDEX(result_20260605!$A:$Z,0,MATCH(sum_pos_20260605!I$1,result_20260605!$1:$1,0)))</f>
        <v>7</v>
      </c>
      <c r="J20">
        <f>SUMIF(result_20260605!$B:$B,sum_pos_20260605!$A20,INDEX(result_20260605!$A:$Z,0,MATCH(sum_pos_20260605!J$1,result_20260605!$1:$1,0)))</f>
        <v>1</v>
      </c>
      <c r="K20">
        <f>SUMIF(result_20260605!$B:$B,sum_pos_20260605!$A20,INDEX(result_20260605!$A:$Z,0,MATCH(sum_pos_20260605!K$1,result_20260605!$1:$1,0)))</f>
        <v>0</v>
      </c>
      <c r="L20">
        <f>SUMIF(result_20260605!$B:$B,sum_pos_20260605!$A20,INDEX(result_20260605!$A:$Z,0,MATCH(sum_pos_20260605!L$1,result_20260605!$1:$1,0)))</f>
        <v>4</v>
      </c>
      <c r="M20">
        <f>SUMIF(result_20260605!$B:$B,sum_pos_20260605!$A20,INDEX(result_20260605!$A:$Z,0,MATCH(sum_pos_20260605!M$1,result_20260605!$1:$1,0)))</f>
        <v>2</v>
      </c>
      <c r="N20">
        <f>SUMIF(result_20260605!$B:$B,sum_pos_20260605!$A20,INDEX(result_20260605!$A:$Z,0,MATCH(sum_pos_20260605!N$1,result_20260605!$1:$1,0)))</f>
        <v>1</v>
      </c>
      <c r="O20">
        <f t="shared" si="4"/>
        <v>24</v>
      </c>
      <c r="P20" s="8">
        <f t="shared" si="5"/>
        <v>0.41666666666666669</v>
      </c>
    </row>
    <row r="21" spans="1:16">
      <c r="A21" s="24" t="s">
        <v>35</v>
      </c>
      <c r="B21" s="24">
        <f t="shared" ref="B21:O21" si="6">SUM(B15:B20)</f>
        <v>18</v>
      </c>
      <c r="C21" s="24">
        <f t="shared" si="6"/>
        <v>40</v>
      </c>
      <c r="D21" s="24">
        <f t="shared" si="6"/>
        <v>0</v>
      </c>
      <c r="E21" s="24">
        <f t="shared" si="6"/>
        <v>86</v>
      </c>
      <c r="F21" s="24">
        <f t="shared" si="6"/>
        <v>34</v>
      </c>
      <c r="G21" s="24">
        <f t="shared" si="6"/>
        <v>1</v>
      </c>
      <c r="H21" s="24">
        <f t="shared" si="6"/>
        <v>0</v>
      </c>
      <c r="I21" s="24">
        <f t="shared" si="6"/>
        <v>59</v>
      </c>
      <c r="J21" s="24">
        <f t="shared" si="6"/>
        <v>2</v>
      </c>
      <c r="K21" s="24">
        <f t="shared" si="6"/>
        <v>0</v>
      </c>
      <c r="L21" s="24">
        <f t="shared" si="6"/>
        <v>14</v>
      </c>
      <c r="M21" s="24">
        <f t="shared" si="6"/>
        <v>10</v>
      </c>
      <c r="N21" s="24">
        <f t="shared" si="6"/>
        <v>6</v>
      </c>
      <c r="O21" s="24">
        <f t="shared" si="6"/>
        <v>144</v>
      </c>
      <c r="P21" s="25">
        <f t="shared" ref="P21" si="7">SUM(B21+C21)/O21</f>
        <v>0.40277777777777779</v>
      </c>
    </row>
  </sheetData>
  <phoneticPr fontId="1" type="noConversion"/>
  <conditionalFormatting sqref="P2:P1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5:P2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0C6D1-33C9-4392-8D00-2F368572C626}">
  <sheetPr>
    <tabColor theme="7" tint="-0.249977111117893"/>
  </sheetPr>
  <dimension ref="A1:R26"/>
  <sheetViews>
    <sheetView workbookViewId="0">
      <selection activeCell="O4" sqref="O4"/>
    </sheetView>
  </sheetViews>
  <sheetFormatPr defaultRowHeight="14.25"/>
  <cols>
    <col min="1" max="1" width="30.5" customWidth="1"/>
    <col min="2" max="2" width="8.25" customWidth="1"/>
    <col min="3" max="3" width="11.25" style="8" bestFit="1" customWidth="1"/>
    <col min="5" max="5" width="2.625" customWidth="1"/>
  </cols>
  <sheetData>
    <row r="1" spans="1:18">
      <c r="A1" s="24" t="s">
        <v>39</v>
      </c>
      <c r="B1" s="24" t="s">
        <v>41</v>
      </c>
      <c r="C1" s="25" t="s">
        <v>40</v>
      </c>
      <c r="F1" t="s">
        <v>4</v>
      </c>
      <c r="G1" t="s">
        <v>37</v>
      </c>
      <c r="H1" s="73" t="s">
        <v>82</v>
      </c>
      <c r="I1" s="74" t="s">
        <v>83</v>
      </c>
      <c r="J1" s="74" t="s">
        <v>84</v>
      </c>
      <c r="K1" s="74" t="s">
        <v>85</v>
      </c>
      <c r="L1" s="75" t="s">
        <v>92</v>
      </c>
      <c r="M1" s="59" t="s">
        <v>87</v>
      </c>
      <c r="N1" s="60" t="s">
        <v>88</v>
      </c>
      <c r="O1" s="61" t="s">
        <v>89</v>
      </c>
      <c r="P1" s="62" t="s">
        <v>90</v>
      </c>
      <c r="Q1" s="63" t="s">
        <v>91</v>
      </c>
      <c r="R1" t="s">
        <v>86</v>
      </c>
    </row>
    <row r="2" spans="1:18">
      <c r="A2" s="57" t="s">
        <v>62</v>
      </c>
      <c r="B2">
        <f>result_20260605!I164</f>
        <v>70</v>
      </c>
      <c r="C2" s="8">
        <f t="shared" ref="C2:C10" si="0">B2/$B$19</f>
        <v>0.72164948453608246</v>
      </c>
      <c r="F2">
        <v>1</v>
      </c>
      <c r="G2" cm="1">
        <f t="array" ref="G2">SUMPRODUCT((result_20260605!$A$2:$A$200=sum_fail_20260605!$F2)*result_20260605!$I$2:$Q$200)</f>
        <v>12</v>
      </c>
      <c r="H2" s="76" cm="1">
        <f t="array" ref="H2">SUMPRODUCT((result_20260605!$A$2:$A$200=sum_fail_20260605!$F2)*result_20260605!$I$2:$K$200)</f>
        <v>11</v>
      </c>
      <c r="I2" cm="1">
        <f t="array" ref="I2">SUMPRODUCT((result_20260605!$A$2:$A$200=sum_fail_20260605!$F2)*result_20260605!$L$2:$M$200)</f>
        <v>0</v>
      </c>
      <c r="J2" cm="1">
        <f t="array" ref="J2">SUMPRODUCT((result_20260605!$A$2:$A$200=sum_fail_20260605!$F2)*result_20260605!$N$2:$N$200)</f>
        <v>0</v>
      </c>
      <c r="K2" cm="1">
        <f t="array" ref="K2">SUMPRODUCT((result_20260605!$A$2:$A$200=sum_fail_20260605!$F2)*result_20260605!$O$2:$O$200)</f>
        <v>0</v>
      </c>
      <c r="L2" s="77" cm="1">
        <f t="array" ref="L2">SUMPRODUCT((result_20260605!$A$2:$A$200=sum_fail_20260605!$F2)*result_20260605!$P$2:$Q$200)</f>
        <v>1</v>
      </c>
      <c r="M2" s="81">
        <f>H2/$G2</f>
        <v>0.91666666666666663</v>
      </c>
      <c r="N2" s="65">
        <f t="shared" ref="N2:Q9" si="1">I2/$G2</f>
        <v>0</v>
      </c>
      <c r="O2" s="66">
        <f t="shared" si="1"/>
        <v>0</v>
      </c>
      <c r="P2" s="67">
        <f t="shared" si="1"/>
        <v>0</v>
      </c>
      <c r="Q2" s="68">
        <f t="shared" si="1"/>
        <v>8.3333333333333329E-2</v>
      </c>
      <c r="R2" t="s">
        <v>82</v>
      </c>
    </row>
    <row r="3" spans="1:18">
      <c r="A3" s="57" t="s">
        <v>19</v>
      </c>
      <c r="B3">
        <f>result_20260605!J164</f>
        <v>10</v>
      </c>
      <c r="C3" s="8">
        <f t="shared" si="0"/>
        <v>0.10309278350515463</v>
      </c>
      <c r="F3">
        <v>2</v>
      </c>
      <c r="G3" cm="1">
        <f t="array" ref="G3">SUMPRODUCT((result_20260605!$A$2:$A$200=sum_fail_20260605!$F3)*result_20260605!$I$2:$Q$200)</f>
        <v>27</v>
      </c>
      <c r="H3" s="76" cm="1">
        <f t="array" ref="H3">SUMPRODUCT((result_20260605!$A$2:$A$200=sum_fail_20260605!$F3)*result_20260605!$I$2:$K$200)</f>
        <v>25</v>
      </c>
      <c r="I3" cm="1">
        <f t="array" ref="I3">SUMPRODUCT((result_20260605!$A$2:$A$200=sum_fail_20260605!$F3)*result_20260605!$L$2:$M$200)</f>
        <v>0</v>
      </c>
      <c r="J3" cm="1">
        <f t="array" ref="J3">SUMPRODUCT((result_20260605!$A$2:$A$200=sum_fail_20260605!$F3)*result_20260605!$N$2:$N$200)</f>
        <v>0</v>
      </c>
      <c r="K3" cm="1">
        <f t="array" ref="K3">SUMPRODUCT((result_20260605!$A$2:$A$200=sum_fail_20260605!$F3)*result_20260605!$O$2:$O$200)</f>
        <v>0</v>
      </c>
      <c r="L3" s="77" cm="1">
        <f t="array" ref="L3">SUMPRODUCT((result_20260605!$A$2:$A$200=sum_fail_20260605!$F3)*result_20260605!$P$2:$Q$200)</f>
        <v>2</v>
      </c>
      <c r="M3" s="81">
        <f t="shared" ref="M3:M9" si="2">H3/$G3</f>
        <v>0.92592592592592593</v>
      </c>
      <c r="N3" s="65">
        <f t="shared" si="1"/>
        <v>0</v>
      </c>
      <c r="O3" s="66">
        <f t="shared" si="1"/>
        <v>0</v>
      </c>
      <c r="P3" s="67">
        <f t="shared" si="1"/>
        <v>0</v>
      </c>
      <c r="Q3" s="68">
        <f t="shared" si="1"/>
        <v>7.407407407407407E-2</v>
      </c>
      <c r="R3" t="s">
        <v>82</v>
      </c>
    </row>
    <row r="4" spans="1:18">
      <c r="A4" s="57" t="s">
        <v>63</v>
      </c>
      <c r="B4">
        <f>result_20260605!K164</f>
        <v>2</v>
      </c>
      <c r="C4" s="8">
        <f t="shared" si="0"/>
        <v>2.0618556701030927E-2</v>
      </c>
      <c r="F4">
        <v>3</v>
      </c>
      <c r="G4" cm="1">
        <f t="array" ref="G4">SUMPRODUCT((result_20260605!$A$2:$A$200=sum_fail_20260605!$F4)*result_20260605!$I$2:$Q$200)</f>
        <v>18</v>
      </c>
      <c r="H4" s="76" cm="1">
        <f t="array" ref="H4">SUMPRODUCT((result_20260605!$A$2:$A$200=sum_fail_20260605!$F4)*result_20260605!$I$2:$K$200)</f>
        <v>5</v>
      </c>
      <c r="I4" cm="1">
        <f t="array" ref="I4">SUMPRODUCT((result_20260605!$A$2:$A$200=sum_fail_20260605!$F4)*result_20260605!$L$2:$M$200)</f>
        <v>1</v>
      </c>
      <c r="J4" cm="1">
        <f t="array" ref="J4">SUMPRODUCT((result_20260605!$A$2:$A$200=sum_fail_20260605!$F4)*result_20260605!$N$2:$N$200)</f>
        <v>12</v>
      </c>
      <c r="K4" cm="1">
        <f t="array" ref="K4">SUMPRODUCT((result_20260605!$A$2:$A$200=sum_fail_20260605!$F4)*result_20260605!$O$2:$O$200)</f>
        <v>0</v>
      </c>
      <c r="L4" s="77" cm="1">
        <f t="array" ref="L4">SUMPRODUCT((result_20260605!$A$2:$A$200=sum_fail_20260605!$F4)*result_20260605!$P$2:$Q$200)</f>
        <v>0</v>
      </c>
      <c r="M4" s="64">
        <f t="shared" si="2"/>
        <v>0.27777777777777779</v>
      </c>
      <c r="N4" s="65">
        <f t="shared" si="1"/>
        <v>5.5555555555555552E-2</v>
      </c>
      <c r="O4" s="82">
        <f t="shared" si="1"/>
        <v>0.66666666666666663</v>
      </c>
      <c r="P4" s="67">
        <f t="shared" si="1"/>
        <v>0</v>
      </c>
      <c r="Q4" s="68">
        <f t="shared" si="1"/>
        <v>0</v>
      </c>
      <c r="R4" t="s">
        <v>84</v>
      </c>
    </row>
    <row r="5" spans="1:18">
      <c r="A5" s="54" t="s">
        <v>1</v>
      </c>
      <c r="B5">
        <f>result_20260605!L164</f>
        <v>1</v>
      </c>
      <c r="C5" s="8">
        <f t="shared" si="0"/>
        <v>1.0309278350515464E-2</v>
      </c>
      <c r="F5">
        <v>4</v>
      </c>
      <c r="G5" cm="1">
        <f t="array" ref="G5">SUMPRODUCT((result_20260605!$A$2:$A$200=sum_fail_20260605!$F5)*result_20260605!$I$2:$Q$200)</f>
        <v>17</v>
      </c>
      <c r="H5" s="76" cm="1">
        <f t="array" ref="H5">SUMPRODUCT((result_20260605!$A$2:$A$200=sum_fail_20260605!$F5)*result_20260605!$I$2:$K$200)</f>
        <v>2</v>
      </c>
      <c r="I5" cm="1">
        <f t="array" ref="I5">SUMPRODUCT((result_20260605!$A$2:$A$200=sum_fail_20260605!$F5)*result_20260605!$L$2:$M$200)</f>
        <v>0</v>
      </c>
      <c r="J5" cm="1">
        <f t="array" ref="J5">SUMPRODUCT((result_20260605!$A$2:$A$200=sum_fail_20260605!$F5)*result_20260605!$N$2:$N$200)</f>
        <v>0</v>
      </c>
      <c r="K5" cm="1">
        <f t="array" ref="K5">SUMPRODUCT((result_20260605!$A$2:$A$200=sum_fail_20260605!$F5)*result_20260605!$O$2:$O$200)</f>
        <v>0</v>
      </c>
      <c r="L5" s="77" cm="1">
        <f t="array" ref="L5">SUMPRODUCT((result_20260605!$A$2:$A$200=sum_fail_20260605!$F5)*result_20260605!$P$2:$Q$200)</f>
        <v>15</v>
      </c>
      <c r="M5" s="64">
        <f t="shared" si="2"/>
        <v>0.11764705882352941</v>
      </c>
      <c r="N5" s="65">
        <f t="shared" si="1"/>
        <v>0</v>
      </c>
      <c r="O5" s="66">
        <f t="shared" si="1"/>
        <v>0</v>
      </c>
      <c r="P5" s="67">
        <f t="shared" si="1"/>
        <v>0</v>
      </c>
      <c r="Q5" s="83">
        <f t="shared" si="1"/>
        <v>0.88235294117647056</v>
      </c>
      <c r="R5" t="s">
        <v>92</v>
      </c>
    </row>
    <row r="6" spans="1:18">
      <c r="A6" s="54" t="s">
        <v>20</v>
      </c>
      <c r="B6">
        <f>result_20260605!M164</f>
        <v>0</v>
      </c>
      <c r="C6" s="8">
        <f t="shared" si="0"/>
        <v>0</v>
      </c>
      <c r="F6">
        <v>5</v>
      </c>
      <c r="G6" cm="1">
        <f t="array" ref="G6">SUMPRODUCT((result_20260605!$A$2:$A$200=sum_fail_20260605!$F6)*result_20260605!$I$2:$Q$200)</f>
        <v>12</v>
      </c>
      <c r="H6" s="76" cm="1">
        <f t="array" ref="H6">SUMPRODUCT((result_20260605!$A$2:$A$200=sum_fail_20260605!$F6)*result_20260605!$I$2:$K$200)</f>
        <v>10</v>
      </c>
      <c r="I6" cm="1">
        <f t="array" ref="I6">SUMPRODUCT((result_20260605!$A$2:$A$200=sum_fail_20260605!$F6)*result_20260605!$L$2:$M$200)</f>
        <v>0</v>
      </c>
      <c r="J6" cm="1">
        <f t="array" ref="J6">SUMPRODUCT((result_20260605!$A$2:$A$200=sum_fail_20260605!$F6)*result_20260605!$N$2:$N$200)</f>
        <v>1</v>
      </c>
      <c r="K6" cm="1">
        <f t="array" ref="K6">SUMPRODUCT((result_20260605!$A$2:$A$200=sum_fail_20260605!$F6)*result_20260605!$O$2:$O$200)</f>
        <v>0</v>
      </c>
      <c r="L6" s="77" cm="1">
        <f t="array" ref="L6">SUMPRODUCT((result_20260605!$A$2:$A$200=sum_fail_20260605!$F6)*result_20260605!$P$2:$Q$200)</f>
        <v>1</v>
      </c>
      <c r="M6" s="81">
        <f t="shared" si="2"/>
        <v>0.83333333333333337</v>
      </c>
      <c r="N6" s="65">
        <f t="shared" si="1"/>
        <v>0</v>
      </c>
      <c r="O6" s="66">
        <f t="shared" si="1"/>
        <v>8.3333333333333329E-2</v>
      </c>
      <c r="P6" s="67">
        <f t="shared" si="1"/>
        <v>0</v>
      </c>
      <c r="Q6" s="68">
        <f t="shared" si="1"/>
        <v>8.3333333333333329E-2</v>
      </c>
      <c r="R6" t="s">
        <v>82</v>
      </c>
    </row>
    <row r="7" spans="1:18">
      <c r="A7" s="55" t="s">
        <v>23</v>
      </c>
      <c r="B7">
        <f>result_20260605!N164</f>
        <v>14</v>
      </c>
      <c r="C7" s="8">
        <f t="shared" si="0"/>
        <v>0.14432989690721648</v>
      </c>
      <c r="F7">
        <v>6</v>
      </c>
      <c r="G7" cm="1">
        <f t="array" ref="G7">SUMPRODUCT((result_20260605!$A$2:$A$200=sum_fail_20260605!$F7)*result_20260605!$I$2:$Q$200)</f>
        <v>18</v>
      </c>
      <c r="H7" s="76" cm="1">
        <f t="array" ref="H7">SUMPRODUCT((result_20260605!$A$2:$A$200=sum_fail_20260605!$F7)*result_20260605!$I$2:$K$200)</f>
        <v>11</v>
      </c>
      <c r="I7" cm="1">
        <f t="array" ref="I7">SUMPRODUCT((result_20260605!$A$2:$A$200=sum_fail_20260605!$F7)*result_20260605!$L$2:$M$200)</f>
        <v>0</v>
      </c>
      <c r="J7" cm="1">
        <f t="array" ref="J7">SUMPRODUCT((result_20260605!$A$2:$A$200=sum_fail_20260605!$F7)*result_20260605!$N$2:$N$200)</f>
        <v>0</v>
      </c>
      <c r="K7" cm="1">
        <f t="array" ref="K7">SUMPRODUCT((result_20260605!$A$2:$A$200=sum_fail_20260605!$F7)*result_20260605!$O$2:$O$200)</f>
        <v>0</v>
      </c>
      <c r="L7" s="77" cm="1">
        <f t="array" ref="L7">SUMPRODUCT((result_20260605!$A$2:$A$200=sum_fail_20260605!$F7)*result_20260605!$P$2:$Q$200)</f>
        <v>7</v>
      </c>
      <c r="M7" s="64">
        <f t="shared" si="2"/>
        <v>0.61111111111111116</v>
      </c>
      <c r="N7" s="65">
        <f t="shared" si="1"/>
        <v>0</v>
      </c>
      <c r="O7" s="66">
        <f t="shared" si="1"/>
        <v>0</v>
      </c>
      <c r="P7" s="67">
        <f t="shared" si="1"/>
        <v>0</v>
      </c>
      <c r="Q7" s="83">
        <f t="shared" si="1"/>
        <v>0.3888888888888889</v>
      </c>
      <c r="R7" t="s">
        <v>82</v>
      </c>
    </row>
    <row r="8" spans="1:18">
      <c r="A8" s="56" t="s">
        <v>18</v>
      </c>
      <c r="B8">
        <f>result_20260605!O164</f>
        <v>0</v>
      </c>
      <c r="C8" s="8">
        <f t="shared" si="0"/>
        <v>0</v>
      </c>
      <c r="F8">
        <v>7</v>
      </c>
      <c r="G8" cm="1">
        <f t="array" ref="G8">SUMPRODUCT((result_20260605!$A$2:$A$200=sum_fail_20260605!$F8)*result_20260605!$I$2:$Q$200)</f>
        <v>18</v>
      </c>
      <c r="H8" s="76" cm="1">
        <f t="array" ref="H8">SUMPRODUCT((result_20260605!$A$2:$A$200=sum_fail_20260605!$F8)*result_20260605!$I$2:$K$200)</f>
        <v>13</v>
      </c>
      <c r="I8" cm="1">
        <f t="array" ref="I8">SUMPRODUCT((result_20260605!$A$2:$A$200=sum_fail_20260605!$F8)*result_20260605!$L$2:$M$200)</f>
        <v>0</v>
      </c>
      <c r="J8" cm="1">
        <f t="array" ref="J8">SUMPRODUCT((result_20260605!$A$2:$A$200=sum_fail_20260605!$F8)*result_20260605!$N$2:$N$200)</f>
        <v>1</v>
      </c>
      <c r="K8" cm="1">
        <f t="array" ref="K8">SUMPRODUCT((result_20260605!$A$2:$A$200=sum_fail_20260605!$F8)*result_20260605!$O$2:$O$200)</f>
        <v>0</v>
      </c>
      <c r="L8" s="77" cm="1">
        <f t="array" ref="L8">SUMPRODUCT((result_20260605!$A$2:$A$200=sum_fail_20260605!$F8)*result_20260605!$P$2:$Q$200)</f>
        <v>4</v>
      </c>
      <c r="M8" s="81">
        <f t="shared" si="2"/>
        <v>0.72222222222222221</v>
      </c>
      <c r="N8" s="65">
        <f t="shared" si="1"/>
        <v>0</v>
      </c>
      <c r="O8" s="66">
        <f t="shared" si="1"/>
        <v>5.5555555555555552E-2</v>
      </c>
      <c r="P8" s="67">
        <f t="shared" si="1"/>
        <v>0</v>
      </c>
      <c r="Q8" s="68">
        <f t="shared" si="1"/>
        <v>0.22222222222222221</v>
      </c>
      <c r="R8" t="s">
        <v>82</v>
      </c>
    </row>
    <row r="9" spans="1:18">
      <c r="A9" s="26" t="s">
        <v>69</v>
      </c>
      <c r="B9">
        <f>result_20260605!P164</f>
        <v>34</v>
      </c>
      <c r="C9" s="8">
        <f t="shared" si="0"/>
        <v>0.35051546391752575</v>
      </c>
      <c r="F9">
        <v>8</v>
      </c>
      <c r="G9" cm="1">
        <f t="array" ref="G9">SUMPRODUCT((result_20260605!$A$2:$A$200=sum_fail_20260605!$F9)*result_20260605!$I$2:$Q$200)</f>
        <v>15</v>
      </c>
      <c r="H9" s="78" cm="1">
        <f t="array" ref="H9">SUMPRODUCT((result_20260605!$A$2:$A$200=sum_fail_20260605!$F9)*result_20260605!$I$2:$K$200)</f>
        <v>5</v>
      </c>
      <c r="I9" s="79" cm="1">
        <f t="array" ref="I9">SUMPRODUCT((result_20260605!$A$2:$A$200=sum_fail_20260605!$F9)*result_20260605!$L$2:$M$200)</f>
        <v>0</v>
      </c>
      <c r="J9" s="79" cm="1">
        <f t="array" ref="J9">SUMPRODUCT((result_20260605!$A$2:$A$200=sum_fail_20260605!$F9)*result_20260605!$N$2:$N$200)</f>
        <v>0</v>
      </c>
      <c r="K9" s="79" cm="1">
        <f t="array" ref="K9">SUMPRODUCT((result_20260605!$A$2:$A$200=sum_fail_20260605!$F9)*result_20260605!$O$2:$O$200)</f>
        <v>0</v>
      </c>
      <c r="L9" s="80" cm="1">
        <f t="array" ref="L9">SUMPRODUCT((result_20260605!$A$2:$A$200=sum_fail_20260605!$F9)*result_20260605!$P$2:$Q$200)</f>
        <v>10</v>
      </c>
      <c r="M9" s="69">
        <f t="shared" si="2"/>
        <v>0.33333333333333331</v>
      </c>
      <c r="N9" s="70">
        <f t="shared" si="1"/>
        <v>0</v>
      </c>
      <c r="O9" s="71">
        <f t="shared" si="1"/>
        <v>0</v>
      </c>
      <c r="P9" s="72">
        <f t="shared" si="1"/>
        <v>0</v>
      </c>
      <c r="Q9" s="84">
        <f t="shared" si="1"/>
        <v>0.66666666666666663</v>
      </c>
      <c r="R9" t="s">
        <v>92</v>
      </c>
    </row>
    <row r="10" spans="1:18">
      <c r="A10" s="26" t="s">
        <v>70</v>
      </c>
      <c r="B10">
        <f>result_20260605!Q164</f>
        <v>6</v>
      </c>
      <c r="C10" s="8">
        <f t="shared" si="0"/>
        <v>6.1855670103092786E-2</v>
      </c>
      <c r="G10">
        <f>SUM(G2:G9)</f>
        <v>137</v>
      </c>
      <c r="H10">
        <f t="shared" ref="H10:L10" si="3">SUM(H2:H9)</f>
        <v>82</v>
      </c>
      <c r="I10">
        <f t="shared" si="3"/>
        <v>1</v>
      </c>
      <c r="J10">
        <f t="shared" si="3"/>
        <v>14</v>
      </c>
      <c r="K10">
        <f t="shared" si="3"/>
        <v>0</v>
      </c>
      <c r="L10">
        <f t="shared" si="3"/>
        <v>40</v>
      </c>
      <c r="M10" s="8"/>
      <c r="N10" s="8"/>
      <c r="O10" s="8"/>
      <c r="P10" s="8"/>
      <c r="Q10" s="8"/>
    </row>
    <row r="14" spans="1:18">
      <c r="A14" t="s">
        <v>0</v>
      </c>
      <c r="B14">
        <f>result_20260605!E164</f>
        <v>25</v>
      </c>
    </row>
    <row r="15" spans="1:18">
      <c r="A15" t="s">
        <v>16</v>
      </c>
      <c r="B15">
        <f>result_20260605!F164</f>
        <v>40</v>
      </c>
    </row>
    <row r="16" spans="1:18">
      <c r="A16" t="s">
        <v>21</v>
      </c>
      <c r="B16">
        <f>result_20260605!G164</f>
        <v>0</v>
      </c>
    </row>
    <row r="17" spans="1:4">
      <c r="A17" t="s">
        <v>17</v>
      </c>
      <c r="B17">
        <f>result_20260605!H164</f>
        <v>97</v>
      </c>
    </row>
    <row r="18" spans="1:4" s="8" customFormat="1">
      <c r="A18" t="s">
        <v>32</v>
      </c>
      <c r="B18">
        <f>SUM(result_20260605!E164:H164)</f>
        <v>162</v>
      </c>
    </row>
    <row r="19" spans="1:4" s="8" customFormat="1">
      <c r="A19" t="s">
        <v>38</v>
      </c>
      <c r="B19">
        <f>SUM(result_20260605!G164:H164)</f>
        <v>97</v>
      </c>
    </row>
    <row r="20" spans="1:4">
      <c r="A20" t="s">
        <v>81</v>
      </c>
      <c r="B20">
        <f>B15+B16+B17</f>
        <v>137</v>
      </c>
    </row>
    <row r="21" spans="1:4">
      <c r="C21" s="8" t="s">
        <v>95</v>
      </c>
      <c r="D21" t="s">
        <v>94</v>
      </c>
    </row>
    <row r="22" spans="1:4">
      <c r="A22" s="53" t="s">
        <v>76</v>
      </c>
      <c r="B22">
        <f>result_20260605!I164+result_20260605!J164+result_20260605!K164</f>
        <v>82</v>
      </c>
      <c r="C22" s="8">
        <f>B22/$B$20</f>
        <v>0.59854014598540151</v>
      </c>
      <c r="D22" s="8">
        <f>B22/$B$17</f>
        <v>0.84536082474226804</v>
      </c>
    </row>
    <row r="23" spans="1:4">
      <c r="A23" s="54" t="s">
        <v>77</v>
      </c>
      <c r="B23">
        <f>result_20260605!L164+result_20260605!M164</f>
        <v>1</v>
      </c>
      <c r="C23" s="8">
        <f>B23/$B$20</f>
        <v>7.2992700729927005E-3</v>
      </c>
      <c r="D23" s="8">
        <f t="shared" ref="D23:D25" si="4">B23/$B$17</f>
        <v>1.0309278350515464E-2</v>
      </c>
    </row>
    <row r="24" spans="1:4">
      <c r="A24" s="55" t="s">
        <v>78</v>
      </c>
      <c r="B24">
        <f>result_20260605!N164</f>
        <v>14</v>
      </c>
      <c r="C24" s="8">
        <f>B24/$B$20</f>
        <v>0.10218978102189781</v>
      </c>
      <c r="D24" s="8">
        <f t="shared" si="4"/>
        <v>0.14432989690721648</v>
      </c>
    </row>
    <row r="25" spans="1:4">
      <c r="A25" s="56" t="s">
        <v>79</v>
      </c>
      <c r="B25">
        <f>result_20260605!O164</f>
        <v>0</v>
      </c>
      <c r="C25" s="8">
        <f>B25/$B$20</f>
        <v>0</v>
      </c>
      <c r="D25" s="8">
        <f t="shared" si="4"/>
        <v>0</v>
      </c>
    </row>
    <row r="26" spans="1:4">
      <c r="A26" s="26" t="s">
        <v>80</v>
      </c>
      <c r="B26">
        <f>result_20260605!P164+result_20260605!Q164</f>
        <v>40</v>
      </c>
      <c r="C26" s="8">
        <f>B26/$B$20</f>
        <v>0.29197080291970801</v>
      </c>
      <c r="D26" s="8"/>
    </row>
  </sheetData>
  <phoneticPr fontId="1" type="noConversion"/>
  <conditionalFormatting sqref="C2:C10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{9A27859D-0026-4028-9EDE-0556E0D9CCDA}</x14:id>
        </ext>
      </extLst>
    </cfRule>
  </conditionalFormatting>
  <conditionalFormatting sqref="C22:C26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{16E56095-9220-4A2F-A17F-A53CA2DBC44C}</x14:id>
        </ext>
      </extLst>
    </cfRule>
  </conditionalFormatting>
  <conditionalFormatting sqref="D22:D25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{8C6C9855-27D3-4128-AD06-1A6A377CE74A}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A27859D-0026-4028-9EDE-0556E0D9CCD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C2:C10</xm:sqref>
        </x14:conditionalFormatting>
        <x14:conditionalFormatting xmlns:xm="http://schemas.microsoft.com/office/excel/2006/main">
          <x14:cfRule type="dataBar" id="{16E56095-9220-4A2F-A17F-A53CA2DBC44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C22:C26</xm:sqref>
        </x14:conditionalFormatting>
        <x14:conditionalFormatting xmlns:xm="http://schemas.microsoft.com/office/excel/2006/main">
          <x14:cfRule type="dataBar" id="{8C6C9855-27D3-4128-AD06-1A6A377CE74A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D22:D25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726E8-315C-407A-8A20-ADEECEB211C9}">
  <sheetPr>
    <tabColor theme="9" tint="0.79998168889431442"/>
  </sheetPr>
  <dimension ref="B3:O32"/>
  <sheetViews>
    <sheetView showGridLines="0" topLeftCell="A7" zoomScaleNormal="100" workbookViewId="0">
      <selection activeCell="B13" sqref="B13"/>
    </sheetView>
  </sheetViews>
  <sheetFormatPr defaultColWidth="15.625" defaultRowHeight="30" customHeight="1"/>
  <sheetData>
    <row r="3" spans="2:15" ht="30" customHeight="1" thickBot="1">
      <c r="B3" s="26" t="s">
        <v>42</v>
      </c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</row>
    <row r="4" spans="2:15" ht="30" customHeight="1">
      <c r="B4" s="26"/>
      <c r="C4" s="27" t="s">
        <v>6</v>
      </c>
      <c r="D4" s="28" t="s">
        <v>9</v>
      </c>
      <c r="E4" s="29" t="s">
        <v>12</v>
      </c>
      <c r="F4" s="26"/>
      <c r="G4" s="30">
        <v>1</v>
      </c>
      <c r="H4" s="31">
        <v>2</v>
      </c>
      <c r="I4" s="31">
        <v>3</v>
      </c>
      <c r="J4" s="31">
        <v>4</v>
      </c>
      <c r="K4" s="31">
        <v>5</v>
      </c>
      <c r="L4" s="31">
        <v>6</v>
      </c>
      <c r="M4" s="31">
        <v>7</v>
      </c>
      <c r="N4" s="32">
        <v>8</v>
      </c>
      <c r="O4" s="26"/>
    </row>
    <row r="5" spans="2:15" ht="30" customHeight="1">
      <c r="B5" s="26"/>
      <c r="C5" s="33"/>
      <c r="D5" s="34"/>
      <c r="E5" s="35"/>
      <c r="F5" s="26"/>
      <c r="G5" s="36"/>
      <c r="H5" s="26"/>
      <c r="I5" s="26"/>
      <c r="J5" s="26"/>
      <c r="K5" s="26"/>
      <c r="L5" s="26"/>
      <c r="M5" s="26"/>
      <c r="N5" s="37"/>
      <c r="O5" s="26"/>
    </row>
    <row r="6" spans="2:15" ht="30" customHeight="1" thickBot="1">
      <c r="B6" s="26"/>
      <c r="C6" s="38" t="s">
        <v>7</v>
      </c>
      <c r="D6" s="39" t="s">
        <v>10</v>
      </c>
      <c r="E6" s="40" t="s">
        <v>13</v>
      </c>
      <c r="F6" s="26"/>
      <c r="G6" s="41" t="s">
        <v>24</v>
      </c>
      <c r="H6" s="42" t="s">
        <v>25</v>
      </c>
      <c r="I6" s="42" t="s">
        <v>26</v>
      </c>
      <c r="J6" s="42" t="s">
        <v>27</v>
      </c>
      <c r="K6" s="42" t="s">
        <v>28</v>
      </c>
      <c r="L6" s="42" t="s">
        <v>29</v>
      </c>
      <c r="M6" s="42" t="s">
        <v>30</v>
      </c>
      <c r="N6" s="43" t="s">
        <v>31</v>
      </c>
      <c r="O6" s="26"/>
    </row>
    <row r="7" spans="2:15" ht="30" customHeight="1">
      <c r="B7" s="26"/>
      <c r="C7" s="33"/>
      <c r="D7" s="34"/>
      <c r="E7" s="35"/>
      <c r="F7" s="26"/>
      <c r="G7" s="26"/>
      <c r="H7" s="26"/>
      <c r="I7" s="26"/>
      <c r="J7" s="26"/>
      <c r="K7" s="26"/>
      <c r="L7" s="26"/>
      <c r="M7" s="26"/>
      <c r="N7" s="26"/>
      <c r="O7" s="26"/>
    </row>
    <row r="8" spans="2:15" ht="30" customHeight="1">
      <c r="B8" s="26"/>
      <c r="C8" s="38" t="s">
        <v>8</v>
      </c>
      <c r="D8" s="39" t="s">
        <v>11</v>
      </c>
      <c r="E8" s="40" t="s">
        <v>14</v>
      </c>
      <c r="F8" s="26"/>
      <c r="G8" s="26"/>
      <c r="H8" s="26"/>
      <c r="I8" s="26"/>
      <c r="J8" s="26"/>
      <c r="K8" s="26"/>
      <c r="L8" s="26"/>
      <c r="M8" s="26"/>
      <c r="N8" s="26"/>
      <c r="O8" s="26"/>
    </row>
    <row r="9" spans="2:15" ht="30" customHeight="1" thickBot="1">
      <c r="B9" s="26"/>
      <c r="C9" s="44"/>
      <c r="D9" s="45"/>
      <c r="E9" s="46"/>
      <c r="F9" s="26"/>
      <c r="G9" s="26"/>
      <c r="H9" s="26"/>
      <c r="I9" s="26"/>
      <c r="J9" s="26"/>
      <c r="K9" s="26"/>
      <c r="L9" s="26"/>
      <c r="M9" s="26"/>
      <c r="N9" s="26"/>
      <c r="O9" s="26"/>
    </row>
    <row r="10" spans="2:15" ht="30" customHeight="1"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</row>
    <row r="11" spans="2:15" s="47" customFormat="1" ht="14.25"/>
    <row r="12" spans="2:15" ht="60" customHeight="1">
      <c r="B12" s="50" t="s">
        <v>100</v>
      </c>
      <c r="C12" s="48" t="s">
        <v>49</v>
      </c>
      <c r="D12" s="48" t="s">
        <v>44</v>
      </c>
      <c r="E12" s="48" t="s">
        <v>46</v>
      </c>
      <c r="F12" s="48" t="s">
        <v>47</v>
      </c>
      <c r="G12" s="48" t="s">
        <v>50</v>
      </c>
      <c r="H12" s="48" t="s">
        <v>51</v>
      </c>
      <c r="I12" s="48" t="s">
        <v>67</v>
      </c>
      <c r="J12" s="48" t="s">
        <v>52</v>
      </c>
      <c r="K12" s="48" t="s">
        <v>53</v>
      </c>
      <c r="L12" s="48" t="s">
        <v>54</v>
      </c>
    </row>
    <row r="13" spans="2:15" ht="30" customHeight="1">
      <c r="B13" t="s">
        <v>105</v>
      </c>
      <c r="C13" s="49" t="s">
        <v>43</v>
      </c>
      <c r="D13" s="49" t="s">
        <v>45</v>
      </c>
      <c r="E13" s="49" t="s">
        <v>65</v>
      </c>
      <c r="F13" s="49" t="s">
        <v>48</v>
      </c>
      <c r="G13" s="49">
        <v>0.2</v>
      </c>
      <c r="H13" s="49">
        <v>2E-3</v>
      </c>
      <c r="I13" s="49">
        <v>2.5000000000000001E-2</v>
      </c>
      <c r="J13" s="49">
        <v>0.01</v>
      </c>
      <c r="K13" s="49">
        <v>0.5</v>
      </c>
      <c r="L13" s="51" t="s">
        <v>66</v>
      </c>
    </row>
    <row r="14" spans="2:15" ht="30" customHeight="1">
      <c r="C14" s="52" t="s">
        <v>55</v>
      </c>
      <c r="D14" s="52" t="s">
        <v>56</v>
      </c>
      <c r="E14" s="52" t="s">
        <v>57</v>
      </c>
      <c r="F14" s="52" t="s">
        <v>58</v>
      </c>
      <c r="G14" s="52" t="s">
        <v>59</v>
      </c>
      <c r="H14" s="52" t="s">
        <v>60</v>
      </c>
      <c r="I14" s="52" t="s">
        <v>61</v>
      </c>
    </row>
    <row r="15" spans="2:15" ht="30" customHeight="1">
      <c r="C15" s="51">
        <v>1.447416</v>
      </c>
      <c r="D15" s="51">
        <v>3.302368</v>
      </c>
      <c r="E15" s="51">
        <v>1.3658980000000001</v>
      </c>
      <c r="F15" s="51">
        <v>-9.5960000000000004E-3</v>
      </c>
      <c r="G15" s="51">
        <v>0.99959399999999998</v>
      </c>
      <c r="H15" s="51">
        <v>2.5939E-2</v>
      </c>
      <c r="I15" s="51">
        <v>-6.796E-3</v>
      </c>
    </row>
    <row r="17" spans="3:14" ht="30" customHeight="1" thickBot="1"/>
    <row r="18" spans="3:14" ht="30" customHeight="1" thickBot="1">
      <c r="D18" s="1" t="s">
        <v>36</v>
      </c>
      <c r="G18" s="5">
        <v>1</v>
      </c>
      <c r="H18" s="6">
        <v>2</v>
      </c>
      <c r="I18" s="6">
        <v>3</v>
      </c>
      <c r="J18" s="6">
        <v>4</v>
      </c>
      <c r="K18" s="6">
        <v>5</v>
      </c>
      <c r="L18" s="6">
        <v>6</v>
      </c>
      <c r="M18" s="6">
        <v>7</v>
      </c>
      <c r="N18" s="7">
        <v>8</v>
      </c>
    </row>
    <row r="19" spans="3:14" ht="30" customHeight="1" thickBot="1">
      <c r="G19" s="22">
        <f>sum_orient_20260611!P2</f>
        <v>0.96296296296296291</v>
      </c>
      <c r="H19" s="9">
        <f>sum_orient_20260611!P3</f>
        <v>1</v>
      </c>
      <c r="I19" s="9">
        <f>sum_orient_20260611!P4</f>
        <v>0</v>
      </c>
      <c r="J19" s="9">
        <f>sum_orient_20260611!P5</f>
        <v>0.83333333333333337</v>
      </c>
      <c r="K19" s="9">
        <f>sum_orient_20260611!P6</f>
        <v>0.94444444444444442</v>
      </c>
      <c r="L19" s="9">
        <f>sum_orient_20260611!P7</f>
        <v>1</v>
      </c>
      <c r="M19" s="9">
        <f>sum_orient_20260611!P8</f>
        <v>0.5</v>
      </c>
      <c r="N19" s="23">
        <f>sum_orient_20260611!P9</f>
        <v>0.94444444444444442</v>
      </c>
    </row>
    <row r="20" spans="3:14" ht="30" customHeight="1" thickBot="1">
      <c r="C20" s="12" t="s">
        <v>6</v>
      </c>
      <c r="D20" s="13" t="s">
        <v>9</v>
      </c>
      <c r="E20" s="14" t="s">
        <v>12</v>
      </c>
      <c r="G20" s="2" t="s">
        <v>24</v>
      </c>
      <c r="H20" s="3" t="s">
        <v>25</v>
      </c>
      <c r="I20" s="3" t="s">
        <v>26</v>
      </c>
      <c r="J20" s="3" t="s">
        <v>27</v>
      </c>
      <c r="K20" s="3" t="s">
        <v>28</v>
      </c>
      <c r="L20" s="3" t="s">
        <v>29</v>
      </c>
      <c r="M20" s="3" t="s">
        <v>30</v>
      </c>
      <c r="N20" s="4" t="s">
        <v>31</v>
      </c>
    </row>
    <row r="21" spans="3:14" ht="30" customHeight="1">
      <c r="C21" s="15">
        <f>sum_pos_20260611!P2</f>
        <v>0.79166666666666663</v>
      </c>
      <c r="D21" s="11">
        <f>sum_pos_20260611!P5</f>
        <v>0.79166666666666663</v>
      </c>
      <c r="E21" s="16">
        <f>sum_pos_20260611!P8</f>
        <v>0.66666666666666663</v>
      </c>
    </row>
    <row r="22" spans="3:14" ht="15" customHeight="1">
      <c r="C22" s="17" t="s">
        <v>7</v>
      </c>
      <c r="D22" s="10" t="s">
        <v>10</v>
      </c>
      <c r="E22" s="18" t="s">
        <v>13</v>
      </c>
    </row>
    <row r="23" spans="3:14" ht="15" customHeight="1">
      <c r="C23" s="15">
        <f>sum_pos_20260611!P3</f>
        <v>1</v>
      </c>
      <c r="D23" s="11">
        <f>sum_pos_20260611!P6</f>
        <v>1</v>
      </c>
      <c r="E23" s="16">
        <f>sum_pos_20260611!P9</f>
        <v>1</v>
      </c>
    </row>
    <row r="24" spans="3:14" ht="30" customHeight="1">
      <c r="C24" s="17" t="s">
        <v>8</v>
      </c>
      <c r="D24" s="10" t="s">
        <v>11</v>
      </c>
      <c r="E24" s="18" t="s">
        <v>14</v>
      </c>
    </row>
    <row r="25" spans="3:14" ht="30" customHeight="1" thickBot="1">
      <c r="C25" s="19">
        <f>sum_pos_20260611!P4</f>
        <v>0.875</v>
      </c>
      <c r="D25" s="20">
        <f>sum_pos_20260611!P7</f>
        <v>0.83333333333333337</v>
      </c>
      <c r="E25" s="21">
        <f>sum_pos_20260611!P10</f>
        <v>0.66666666666666663</v>
      </c>
    </row>
    <row r="32" spans="3:14" s="47" customFormat="1" ht="10.5" customHeight="1"/>
  </sheetData>
  <phoneticPr fontId="1" type="noConversion"/>
  <conditionalFormatting sqref="C4:E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0:E25">
    <cfRule type="colorScale" priority="5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G19:N19">
    <cfRule type="colorScale" priority="4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4A264-8280-4B21-9C82-9393E7D2D089}">
  <sheetPr>
    <tabColor theme="9" tint="0.79998168889431442"/>
  </sheetPr>
  <dimension ref="A1:Q164"/>
  <sheetViews>
    <sheetView workbookViewId="0">
      <pane xSplit="4" ySplit="1" topLeftCell="E143" activePane="bottomRight" state="frozen"/>
      <selection activeCell="O33" sqref="O33"/>
      <selection pane="topRight" activeCell="O33" sqref="O33"/>
      <selection pane="bottomLeft" activeCell="O33" sqref="O33"/>
      <selection pane="bottomRight" activeCell="P51" sqref="P51"/>
    </sheetView>
  </sheetViews>
  <sheetFormatPr defaultRowHeight="14.25"/>
  <cols>
    <col min="9" max="9" width="16.625" style="57" customWidth="1"/>
    <col min="10" max="10" width="17.25" style="54" customWidth="1"/>
    <col min="11" max="11" width="19.125" style="55" customWidth="1"/>
    <col min="12" max="12" width="14" style="55" customWidth="1"/>
    <col min="13" max="13" width="14.625" style="56" customWidth="1"/>
    <col min="14" max="14" width="13.625" style="26" customWidth="1"/>
    <col min="15" max="15" width="14" style="26" customWidth="1"/>
    <col min="16" max="16" width="23.375" style="26" customWidth="1"/>
    <col min="17" max="17" width="17.875" style="26" customWidth="1"/>
  </cols>
  <sheetData>
    <row r="1" spans="1:17">
      <c r="A1" t="s">
        <v>4</v>
      </c>
      <c r="B1" t="s">
        <v>3</v>
      </c>
      <c r="C1" t="s">
        <v>5</v>
      </c>
      <c r="D1" t="s">
        <v>15</v>
      </c>
      <c r="E1" t="s">
        <v>0</v>
      </c>
      <c r="F1" t="s">
        <v>16</v>
      </c>
      <c r="G1" t="s">
        <v>21</v>
      </c>
      <c r="H1" t="s">
        <v>17</v>
      </c>
      <c r="I1" s="57" t="s">
        <v>62</v>
      </c>
      <c r="J1" s="54" t="s">
        <v>1</v>
      </c>
      <c r="K1" s="55" t="s">
        <v>23</v>
      </c>
      <c r="L1" s="55" t="s">
        <v>71</v>
      </c>
      <c r="M1" s="56" t="s">
        <v>18</v>
      </c>
      <c r="N1" s="26" t="s">
        <v>69</v>
      </c>
      <c r="O1" s="26" t="s">
        <v>68</v>
      </c>
      <c r="P1" s="26" t="s">
        <v>72</v>
      </c>
      <c r="Q1" s="26" t="s">
        <v>70</v>
      </c>
    </row>
    <row r="2" spans="1:17">
      <c r="A2">
        <v>1</v>
      </c>
      <c r="B2" t="s">
        <v>6</v>
      </c>
      <c r="C2">
        <v>1</v>
      </c>
      <c r="D2" t="str">
        <f t="shared" ref="D2:D65" si="0">A2&amp;"-"&amp;B2&amp;"-"&amp;C2</f>
        <v>1-A-1</v>
      </c>
      <c r="F2">
        <v>1</v>
      </c>
      <c r="Q2" s="26">
        <v>1</v>
      </c>
    </row>
    <row r="3" spans="1:17">
      <c r="A3">
        <v>1</v>
      </c>
      <c r="B3" t="s">
        <v>6</v>
      </c>
      <c r="C3">
        <v>2</v>
      </c>
      <c r="D3" t="str">
        <f t="shared" si="0"/>
        <v>1-A-2</v>
      </c>
      <c r="F3">
        <v>1</v>
      </c>
      <c r="Q3" s="26">
        <v>1</v>
      </c>
    </row>
    <row r="4" spans="1:17">
      <c r="A4">
        <v>1</v>
      </c>
      <c r="B4" t="s">
        <v>6</v>
      </c>
      <c r="C4">
        <v>3</v>
      </c>
      <c r="D4" t="str">
        <f t="shared" si="0"/>
        <v>1-A-3</v>
      </c>
      <c r="F4">
        <v>1</v>
      </c>
      <c r="Q4" s="26">
        <v>1</v>
      </c>
    </row>
    <row r="5" spans="1:17">
      <c r="A5">
        <v>1</v>
      </c>
      <c r="B5" t="s">
        <v>7</v>
      </c>
      <c r="C5">
        <v>1</v>
      </c>
      <c r="D5" t="str">
        <f t="shared" si="0"/>
        <v>1-B-1</v>
      </c>
      <c r="F5">
        <v>1</v>
      </c>
      <c r="N5" s="26">
        <v>1</v>
      </c>
    </row>
    <row r="6" spans="1:17">
      <c r="A6">
        <v>1</v>
      </c>
      <c r="B6" t="s">
        <v>7</v>
      </c>
      <c r="C6">
        <v>2</v>
      </c>
      <c r="D6" t="str">
        <f t="shared" si="0"/>
        <v>1-B-2</v>
      </c>
      <c r="E6">
        <v>1</v>
      </c>
    </row>
    <row r="7" spans="1:17">
      <c r="A7">
        <v>1</v>
      </c>
      <c r="B7" t="s">
        <v>7</v>
      </c>
      <c r="C7">
        <v>3</v>
      </c>
      <c r="D7" t="str">
        <f t="shared" si="0"/>
        <v>1-B-3</v>
      </c>
      <c r="F7">
        <v>1</v>
      </c>
      <c r="Q7" s="26">
        <v>1</v>
      </c>
    </row>
    <row r="8" spans="1:17">
      <c r="A8">
        <v>1</v>
      </c>
      <c r="B8" t="s">
        <v>8</v>
      </c>
      <c r="C8">
        <v>1</v>
      </c>
      <c r="D8" t="str">
        <f t="shared" si="0"/>
        <v>1-C-1</v>
      </c>
      <c r="E8">
        <v>1</v>
      </c>
    </row>
    <row r="9" spans="1:17">
      <c r="A9">
        <v>1</v>
      </c>
      <c r="B9" t="s">
        <v>8</v>
      </c>
      <c r="C9">
        <v>2</v>
      </c>
      <c r="D9" t="str">
        <f t="shared" si="0"/>
        <v>1-C-2</v>
      </c>
      <c r="E9">
        <v>1</v>
      </c>
    </row>
    <row r="10" spans="1:17">
      <c r="A10">
        <v>1</v>
      </c>
      <c r="B10" t="s">
        <v>8</v>
      </c>
      <c r="C10">
        <v>3</v>
      </c>
      <c r="D10" t="str">
        <f t="shared" si="0"/>
        <v>1-C-3</v>
      </c>
      <c r="E10">
        <v>1</v>
      </c>
    </row>
    <row r="11" spans="1:17">
      <c r="A11">
        <v>1</v>
      </c>
      <c r="B11" t="s">
        <v>9</v>
      </c>
      <c r="C11">
        <v>1</v>
      </c>
      <c r="D11" t="str">
        <f t="shared" si="0"/>
        <v>1-D-1</v>
      </c>
      <c r="E11">
        <v>1</v>
      </c>
    </row>
    <row r="12" spans="1:17">
      <c r="A12">
        <v>1</v>
      </c>
      <c r="B12" t="s">
        <v>9</v>
      </c>
      <c r="C12">
        <v>2</v>
      </c>
      <c r="D12" t="str">
        <f t="shared" si="0"/>
        <v>1-D-2</v>
      </c>
      <c r="E12">
        <v>1</v>
      </c>
    </row>
    <row r="13" spans="1:17">
      <c r="A13">
        <v>1</v>
      </c>
      <c r="B13" t="s">
        <v>9</v>
      </c>
      <c r="C13">
        <v>3</v>
      </c>
      <c r="D13" t="str">
        <f t="shared" si="0"/>
        <v>1-D-3</v>
      </c>
      <c r="F13">
        <v>1</v>
      </c>
      <c r="Q13" s="26">
        <v>1</v>
      </c>
    </row>
    <row r="14" spans="1:17">
      <c r="A14">
        <v>1</v>
      </c>
      <c r="B14" t="s">
        <v>10</v>
      </c>
      <c r="C14">
        <v>1</v>
      </c>
      <c r="D14" t="str">
        <f t="shared" si="0"/>
        <v>1-E-1</v>
      </c>
      <c r="E14">
        <v>1</v>
      </c>
    </row>
    <row r="15" spans="1:17">
      <c r="A15">
        <v>1</v>
      </c>
      <c r="B15" t="s">
        <v>10</v>
      </c>
      <c r="C15">
        <v>2</v>
      </c>
      <c r="D15" t="str">
        <f t="shared" si="0"/>
        <v>1-E-2</v>
      </c>
      <c r="E15">
        <v>1</v>
      </c>
    </row>
    <row r="16" spans="1:17">
      <c r="A16">
        <v>1</v>
      </c>
      <c r="B16" t="s">
        <v>10</v>
      </c>
      <c r="C16">
        <v>3</v>
      </c>
      <c r="D16" t="str">
        <f t="shared" si="0"/>
        <v>1-E-3</v>
      </c>
      <c r="F16">
        <v>1</v>
      </c>
      <c r="Q16" s="26">
        <v>1</v>
      </c>
    </row>
    <row r="17" spans="1:17">
      <c r="A17">
        <v>1</v>
      </c>
      <c r="B17" t="s">
        <v>11</v>
      </c>
      <c r="C17">
        <v>1</v>
      </c>
      <c r="D17" t="str">
        <f t="shared" si="0"/>
        <v>1-F-1</v>
      </c>
      <c r="F17">
        <v>1</v>
      </c>
      <c r="Q17" s="26">
        <v>1</v>
      </c>
    </row>
    <row r="18" spans="1:17">
      <c r="A18">
        <v>1</v>
      </c>
      <c r="B18" t="s">
        <v>11</v>
      </c>
      <c r="C18">
        <v>2</v>
      </c>
      <c r="D18" t="str">
        <f t="shared" si="0"/>
        <v>1-F-2</v>
      </c>
      <c r="E18">
        <v>1</v>
      </c>
    </row>
    <row r="19" spans="1:17">
      <c r="A19">
        <v>1</v>
      </c>
      <c r="B19" t="s">
        <v>11</v>
      </c>
      <c r="C19">
        <v>3</v>
      </c>
      <c r="D19" t="str">
        <f t="shared" si="0"/>
        <v>1-F-3</v>
      </c>
      <c r="E19">
        <v>1</v>
      </c>
    </row>
    <row r="20" spans="1:17">
      <c r="A20">
        <v>1</v>
      </c>
      <c r="B20" t="s">
        <v>12</v>
      </c>
      <c r="C20">
        <v>1</v>
      </c>
      <c r="D20" t="str">
        <f t="shared" si="0"/>
        <v>1-G-1</v>
      </c>
      <c r="E20">
        <v>1</v>
      </c>
    </row>
    <row r="21" spans="1:17">
      <c r="A21">
        <v>1</v>
      </c>
      <c r="B21" t="s">
        <v>12</v>
      </c>
      <c r="C21">
        <v>2</v>
      </c>
      <c r="D21" t="str">
        <f t="shared" si="0"/>
        <v>1-G-2</v>
      </c>
      <c r="H21">
        <v>1</v>
      </c>
      <c r="I21" s="57">
        <v>1</v>
      </c>
    </row>
    <row r="22" spans="1:17">
      <c r="A22">
        <v>1</v>
      </c>
      <c r="B22" t="s">
        <v>12</v>
      </c>
      <c r="C22">
        <v>3</v>
      </c>
      <c r="D22" t="str">
        <f t="shared" si="0"/>
        <v>1-G-3</v>
      </c>
      <c r="E22">
        <v>1</v>
      </c>
    </row>
    <row r="23" spans="1:17">
      <c r="A23">
        <v>1</v>
      </c>
      <c r="B23" t="s">
        <v>13</v>
      </c>
      <c r="C23">
        <v>1</v>
      </c>
      <c r="D23" t="str">
        <f t="shared" si="0"/>
        <v>1-H-1</v>
      </c>
      <c r="F23">
        <v>1</v>
      </c>
      <c r="N23" s="26">
        <v>1</v>
      </c>
    </row>
    <row r="24" spans="1:17">
      <c r="A24">
        <v>1</v>
      </c>
      <c r="B24" t="s">
        <v>13</v>
      </c>
      <c r="C24">
        <v>2</v>
      </c>
      <c r="D24" t="str">
        <f t="shared" si="0"/>
        <v>1-H-2</v>
      </c>
      <c r="E24">
        <v>1</v>
      </c>
    </row>
    <row r="25" spans="1:17">
      <c r="A25">
        <v>1</v>
      </c>
      <c r="B25" t="s">
        <v>13</v>
      </c>
      <c r="C25">
        <v>3</v>
      </c>
      <c r="D25" t="str">
        <f t="shared" si="0"/>
        <v>1-H-3</v>
      </c>
      <c r="F25">
        <v>1</v>
      </c>
      <c r="N25" s="26">
        <v>1</v>
      </c>
      <c r="Q25" s="26">
        <v>1</v>
      </c>
    </row>
    <row r="26" spans="1:17">
      <c r="A26">
        <v>1</v>
      </c>
      <c r="B26" t="s">
        <v>14</v>
      </c>
      <c r="C26">
        <v>1</v>
      </c>
      <c r="D26" t="str">
        <f t="shared" si="0"/>
        <v>1-I-1</v>
      </c>
      <c r="E26">
        <v>1</v>
      </c>
    </row>
    <row r="27" spans="1:17">
      <c r="A27">
        <v>1</v>
      </c>
      <c r="B27" t="s">
        <v>14</v>
      </c>
      <c r="C27">
        <v>2</v>
      </c>
      <c r="D27" t="str">
        <f t="shared" si="0"/>
        <v>1-I-2</v>
      </c>
      <c r="E27">
        <v>1</v>
      </c>
    </row>
    <row r="28" spans="1:17">
      <c r="A28">
        <v>1</v>
      </c>
      <c r="B28" t="s">
        <v>14</v>
      </c>
      <c r="C28">
        <v>3</v>
      </c>
      <c r="D28" t="str">
        <f t="shared" si="0"/>
        <v>1-I-3</v>
      </c>
      <c r="F28">
        <v>1</v>
      </c>
      <c r="Q28" s="26">
        <v>1</v>
      </c>
    </row>
    <row r="29" spans="1:17">
      <c r="A29">
        <v>2</v>
      </c>
      <c r="B29" t="s">
        <v>6</v>
      </c>
      <c r="C29">
        <v>1</v>
      </c>
      <c r="D29" t="str">
        <f t="shared" si="0"/>
        <v>2-A-1</v>
      </c>
      <c r="F29">
        <v>1</v>
      </c>
      <c r="P29" s="26">
        <v>1</v>
      </c>
    </row>
    <row r="30" spans="1:17">
      <c r="A30">
        <v>2</v>
      </c>
      <c r="B30" t="s">
        <v>6</v>
      </c>
      <c r="C30">
        <v>2</v>
      </c>
      <c r="D30" t="str">
        <f t="shared" si="0"/>
        <v>2-A-2</v>
      </c>
      <c r="F30">
        <v>1</v>
      </c>
      <c r="P30" s="26">
        <v>1</v>
      </c>
    </row>
    <row r="31" spans="1:17">
      <c r="A31">
        <v>2</v>
      </c>
      <c r="B31" t="s">
        <v>6</v>
      </c>
      <c r="C31">
        <v>3</v>
      </c>
      <c r="D31" t="str">
        <f t="shared" si="0"/>
        <v>2-A-3</v>
      </c>
      <c r="F31">
        <v>1</v>
      </c>
      <c r="P31" s="26">
        <v>1</v>
      </c>
    </row>
    <row r="32" spans="1:17">
      <c r="A32">
        <v>2</v>
      </c>
      <c r="B32" t="s">
        <v>7</v>
      </c>
      <c r="C32">
        <v>1</v>
      </c>
      <c r="D32" t="str">
        <f t="shared" si="0"/>
        <v>2-B-1</v>
      </c>
      <c r="F32">
        <v>1</v>
      </c>
      <c r="P32" s="26">
        <v>1</v>
      </c>
    </row>
    <row r="33" spans="1:16">
      <c r="A33">
        <v>2</v>
      </c>
      <c r="B33" t="s">
        <v>7</v>
      </c>
      <c r="C33">
        <v>2</v>
      </c>
      <c r="D33" t="str">
        <f t="shared" si="0"/>
        <v>2-B-2</v>
      </c>
      <c r="F33">
        <v>1</v>
      </c>
      <c r="P33" s="26">
        <v>1</v>
      </c>
    </row>
    <row r="34" spans="1:16">
      <c r="A34">
        <v>2</v>
      </c>
      <c r="B34" t="s">
        <v>7</v>
      </c>
      <c r="C34">
        <v>3</v>
      </c>
      <c r="D34" t="str">
        <f t="shared" si="0"/>
        <v>2-B-3</v>
      </c>
      <c r="F34">
        <v>1</v>
      </c>
      <c r="P34" s="26">
        <v>1</v>
      </c>
    </row>
    <row r="35" spans="1:16">
      <c r="A35">
        <v>2</v>
      </c>
      <c r="B35" t="s">
        <v>8</v>
      </c>
      <c r="C35">
        <v>1</v>
      </c>
      <c r="D35" t="str">
        <f t="shared" si="0"/>
        <v>2-C-1</v>
      </c>
      <c r="F35">
        <v>1</v>
      </c>
      <c r="P35" s="26">
        <v>1</v>
      </c>
    </row>
    <row r="36" spans="1:16">
      <c r="A36">
        <v>2</v>
      </c>
      <c r="B36" t="s">
        <v>8</v>
      </c>
      <c r="C36">
        <v>2</v>
      </c>
      <c r="D36" t="str">
        <f t="shared" si="0"/>
        <v>2-C-2</v>
      </c>
      <c r="F36">
        <v>1</v>
      </c>
      <c r="P36" s="26">
        <v>1</v>
      </c>
    </row>
    <row r="37" spans="1:16">
      <c r="A37">
        <v>2</v>
      </c>
      <c r="B37" t="s">
        <v>8</v>
      </c>
      <c r="C37">
        <v>3</v>
      </c>
      <c r="D37" t="str">
        <f t="shared" si="0"/>
        <v>2-C-3</v>
      </c>
      <c r="F37">
        <v>1</v>
      </c>
      <c r="P37" s="26">
        <v>1</v>
      </c>
    </row>
    <row r="38" spans="1:16">
      <c r="A38">
        <v>2</v>
      </c>
      <c r="B38" t="s">
        <v>9</v>
      </c>
      <c r="C38">
        <v>1</v>
      </c>
      <c r="D38" t="str">
        <f t="shared" si="0"/>
        <v>2-D-1</v>
      </c>
      <c r="F38">
        <v>1</v>
      </c>
      <c r="P38" s="26">
        <v>1</v>
      </c>
    </row>
    <row r="39" spans="1:16">
      <c r="A39">
        <v>2</v>
      </c>
      <c r="B39" t="s">
        <v>9</v>
      </c>
      <c r="C39">
        <v>2</v>
      </c>
      <c r="D39" t="str">
        <f t="shared" si="0"/>
        <v>2-D-2</v>
      </c>
      <c r="F39">
        <v>1</v>
      </c>
      <c r="P39" s="26">
        <v>1</v>
      </c>
    </row>
    <row r="40" spans="1:16">
      <c r="A40">
        <v>2</v>
      </c>
      <c r="B40" t="s">
        <v>9</v>
      </c>
      <c r="C40">
        <v>3</v>
      </c>
      <c r="D40" t="str">
        <f t="shared" si="0"/>
        <v>2-D-3</v>
      </c>
      <c r="F40">
        <v>1</v>
      </c>
      <c r="P40" s="26">
        <v>1</v>
      </c>
    </row>
    <row r="41" spans="1:16">
      <c r="A41">
        <v>2</v>
      </c>
      <c r="B41" t="s">
        <v>10</v>
      </c>
      <c r="C41">
        <v>1</v>
      </c>
      <c r="D41" t="str">
        <f t="shared" si="0"/>
        <v>2-E-1</v>
      </c>
      <c r="F41">
        <v>1</v>
      </c>
      <c r="P41" s="26">
        <v>1</v>
      </c>
    </row>
    <row r="42" spans="1:16">
      <c r="A42">
        <v>2</v>
      </c>
      <c r="B42" t="s">
        <v>10</v>
      </c>
      <c r="C42">
        <v>2</v>
      </c>
      <c r="D42" t="str">
        <f t="shared" si="0"/>
        <v>2-E-2</v>
      </c>
      <c r="F42">
        <v>1</v>
      </c>
      <c r="P42" s="26">
        <v>1</v>
      </c>
    </row>
    <row r="43" spans="1:16">
      <c r="A43">
        <v>2</v>
      </c>
      <c r="B43" t="s">
        <v>10</v>
      </c>
      <c r="C43">
        <v>3</v>
      </c>
      <c r="D43" t="str">
        <f t="shared" si="0"/>
        <v>2-E-3</v>
      </c>
      <c r="F43">
        <v>1</v>
      </c>
      <c r="P43" s="26">
        <v>1</v>
      </c>
    </row>
    <row r="44" spans="1:16">
      <c r="A44">
        <v>2</v>
      </c>
      <c r="B44" t="s">
        <v>11</v>
      </c>
      <c r="C44">
        <v>1</v>
      </c>
      <c r="D44" t="str">
        <f t="shared" si="0"/>
        <v>2-F-1</v>
      </c>
      <c r="F44">
        <v>1</v>
      </c>
      <c r="P44" s="26">
        <v>1</v>
      </c>
    </row>
    <row r="45" spans="1:16">
      <c r="A45">
        <v>2</v>
      </c>
      <c r="B45" t="s">
        <v>11</v>
      </c>
      <c r="C45">
        <v>2</v>
      </c>
      <c r="D45" t="str">
        <f t="shared" si="0"/>
        <v>2-F-2</v>
      </c>
      <c r="F45">
        <v>1</v>
      </c>
      <c r="P45" s="26">
        <v>1</v>
      </c>
    </row>
    <row r="46" spans="1:16">
      <c r="A46">
        <v>2</v>
      </c>
      <c r="B46" t="s">
        <v>11</v>
      </c>
      <c r="C46">
        <v>3</v>
      </c>
      <c r="D46" t="str">
        <f t="shared" si="0"/>
        <v>2-F-3</v>
      </c>
      <c r="F46">
        <v>1</v>
      </c>
      <c r="P46" s="26">
        <v>1</v>
      </c>
    </row>
    <row r="47" spans="1:16">
      <c r="A47">
        <v>2</v>
      </c>
      <c r="B47" t="s">
        <v>12</v>
      </c>
      <c r="C47">
        <v>1</v>
      </c>
      <c r="D47" t="str">
        <f t="shared" si="0"/>
        <v>2-G-1</v>
      </c>
      <c r="F47">
        <v>1</v>
      </c>
      <c r="P47" s="26">
        <v>1</v>
      </c>
    </row>
    <row r="48" spans="1:16">
      <c r="A48">
        <v>2</v>
      </c>
      <c r="B48" t="s">
        <v>12</v>
      </c>
      <c r="C48">
        <v>2</v>
      </c>
      <c r="D48" t="str">
        <f t="shared" si="0"/>
        <v>2-G-2</v>
      </c>
      <c r="F48">
        <v>1</v>
      </c>
      <c r="P48" s="26">
        <v>1</v>
      </c>
    </row>
    <row r="49" spans="1:16">
      <c r="A49">
        <v>2</v>
      </c>
      <c r="B49" t="s">
        <v>12</v>
      </c>
      <c r="C49">
        <v>3</v>
      </c>
      <c r="D49" t="str">
        <f t="shared" si="0"/>
        <v>2-G-3</v>
      </c>
      <c r="F49">
        <v>1</v>
      </c>
      <c r="P49" s="26">
        <v>1</v>
      </c>
    </row>
    <row r="50" spans="1:16">
      <c r="A50">
        <v>2</v>
      </c>
      <c r="B50" t="s">
        <v>13</v>
      </c>
      <c r="C50">
        <v>1</v>
      </c>
      <c r="D50" t="str">
        <f t="shared" si="0"/>
        <v>2-H-1</v>
      </c>
      <c r="F50">
        <v>1</v>
      </c>
      <c r="P50" s="26">
        <v>1</v>
      </c>
    </row>
    <row r="51" spans="1:16">
      <c r="A51">
        <v>2</v>
      </c>
      <c r="B51" t="s">
        <v>13</v>
      </c>
      <c r="C51">
        <v>2</v>
      </c>
      <c r="D51" t="str">
        <f t="shared" si="0"/>
        <v>2-H-2</v>
      </c>
      <c r="F51">
        <v>1</v>
      </c>
      <c r="P51" s="26">
        <v>1</v>
      </c>
    </row>
    <row r="52" spans="1:16">
      <c r="A52">
        <v>2</v>
      </c>
      <c r="B52" t="s">
        <v>13</v>
      </c>
      <c r="C52">
        <v>3</v>
      </c>
      <c r="D52" t="str">
        <f t="shared" si="0"/>
        <v>2-H-3</v>
      </c>
      <c r="F52">
        <v>1</v>
      </c>
      <c r="P52" s="26">
        <v>1</v>
      </c>
    </row>
    <row r="53" spans="1:16">
      <c r="A53">
        <v>2</v>
      </c>
      <c r="B53" t="s">
        <v>14</v>
      </c>
      <c r="C53">
        <v>1</v>
      </c>
      <c r="D53" t="str">
        <f t="shared" si="0"/>
        <v>2-I-1</v>
      </c>
      <c r="F53">
        <v>1</v>
      </c>
      <c r="P53" s="26">
        <v>1</v>
      </c>
    </row>
    <row r="54" spans="1:16">
      <c r="A54">
        <v>2</v>
      </c>
      <c r="B54" t="s">
        <v>14</v>
      </c>
      <c r="C54">
        <v>2</v>
      </c>
      <c r="D54" t="str">
        <f t="shared" si="0"/>
        <v>2-I-2</v>
      </c>
      <c r="F54">
        <v>1</v>
      </c>
      <c r="P54" s="26">
        <v>1</v>
      </c>
    </row>
    <row r="55" spans="1:16">
      <c r="A55">
        <v>2</v>
      </c>
      <c r="B55" t="s">
        <v>14</v>
      </c>
      <c r="C55">
        <v>3</v>
      </c>
      <c r="D55" t="str">
        <f t="shared" si="0"/>
        <v>2-I-3</v>
      </c>
      <c r="F55">
        <v>1</v>
      </c>
      <c r="P55" s="26">
        <v>1</v>
      </c>
    </row>
    <row r="56" spans="1:16">
      <c r="A56">
        <v>3</v>
      </c>
      <c r="B56" t="s">
        <v>6</v>
      </c>
      <c r="C56">
        <v>1</v>
      </c>
      <c r="D56" t="str">
        <f t="shared" si="0"/>
        <v>3-A-1</v>
      </c>
      <c r="H56">
        <v>1</v>
      </c>
      <c r="K56" s="55">
        <v>1</v>
      </c>
    </row>
    <row r="57" spans="1:16">
      <c r="A57">
        <v>3</v>
      </c>
      <c r="B57" t="s">
        <v>6</v>
      </c>
      <c r="C57">
        <v>2</v>
      </c>
      <c r="D57" t="str">
        <f t="shared" si="0"/>
        <v>3-A-2</v>
      </c>
      <c r="H57">
        <v>1</v>
      </c>
      <c r="K57" s="55">
        <v>1</v>
      </c>
    </row>
    <row r="58" spans="1:16">
      <c r="A58">
        <v>3</v>
      </c>
      <c r="B58" t="s">
        <v>6</v>
      </c>
      <c r="C58">
        <v>3</v>
      </c>
      <c r="D58" t="str">
        <f t="shared" si="0"/>
        <v>3-A-3</v>
      </c>
      <c r="H58">
        <v>1</v>
      </c>
      <c r="K58" s="55">
        <v>1</v>
      </c>
    </row>
    <row r="59" spans="1:16">
      <c r="A59">
        <v>3</v>
      </c>
      <c r="B59" t="s">
        <v>8</v>
      </c>
      <c r="C59">
        <v>1</v>
      </c>
      <c r="D59" t="str">
        <f t="shared" si="0"/>
        <v>3-C-1</v>
      </c>
      <c r="H59">
        <v>1</v>
      </c>
      <c r="J59" s="54">
        <v>1</v>
      </c>
    </row>
    <row r="60" spans="1:16">
      <c r="A60">
        <v>3</v>
      </c>
      <c r="B60" t="s">
        <v>8</v>
      </c>
      <c r="C60">
        <v>2</v>
      </c>
      <c r="D60" t="str">
        <f t="shared" si="0"/>
        <v>3-C-2</v>
      </c>
      <c r="H60">
        <v>1</v>
      </c>
      <c r="J60" s="54">
        <v>1</v>
      </c>
    </row>
    <row r="61" spans="1:16">
      <c r="A61">
        <v>3</v>
      </c>
      <c r="B61" t="s">
        <v>8</v>
      </c>
      <c r="C61">
        <v>3</v>
      </c>
      <c r="D61" t="str">
        <f t="shared" si="0"/>
        <v>3-C-3</v>
      </c>
      <c r="H61">
        <v>1</v>
      </c>
      <c r="J61" s="54">
        <v>1</v>
      </c>
    </row>
    <row r="62" spans="1:16">
      <c r="A62">
        <v>3</v>
      </c>
      <c r="B62" t="s">
        <v>9</v>
      </c>
      <c r="C62">
        <v>1</v>
      </c>
      <c r="D62" t="str">
        <f t="shared" si="0"/>
        <v>3-D-1</v>
      </c>
      <c r="H62">
        <v>1</v>
      </c>
      <c r="L62" s="55">
        <v>1</v>
      </c>
    </row>
    <row r="63" spans="1:16">
      <c r="A63">
        <v>3</v>
      </c>
      <c r="B63" t="s">
        <v>9</v>
      </c>
      <c r="C63">
        <v>2</v>
      </c>
      <c r="D63" t="str">
        <f t="shared" si="0"/>
        <v>3-D-2</v>
      </c>
      <c r="H63">
        <v>1</v>
      </c>
      <c r="K63" s="55">
        <v>1</v>
      </c>
    </row>
    <row r="64" spans="1:16">
      <c r="A64">
        <v>3</v>
      </c>
      <c r="B64" t="s">
        <v>9</v>
      </c>
      <c r="C64">
        <v>3</v>
      </c>
      <c r="D64" t="str">
        <f t="shared" si="0"/>
        <v>3-D-3</v>
      </c>
      <c r="H64">
        <v>1</v>
      </c>
      <c r="K64" s="55">
        <v>1</v>
      </c>
    </row>
    <row r="65" spans="1:15">
      <c r="A65">
        <v>3</v>
      </c>
      <c r="B65" t="s">
        <v>11</v>
      </c>
      <c r="C65">
        <v>1</v>
      </c>
      <c r="D65" t="str">
        <f t="shared" si="0"/>
        <v>3-F-1</v>
      </c>
      <c r="H65">
        <v>1</v>
      </c>
      <c r="K65" s="55">
        <v>1</v>
      </c>
    </row>
    <row r="66" spans="1:15">
      <c r="A66">
        <v>3</v>
      </c>
      <c r="B66" t="s">
        <v>11</v>
      </c>
      <c r="C66">
        <v>2</v>
      </c>
      <c r="D66" t="str">
        <f t="shared" ref="D66:D129" si="1">A66&amp;"-"&amp;B66&amp;"-"&amp;C66</f>
        <v>3-F-2</v>
      </c>
      <c r="H66">
        <v>1</v>
      </c>
      <c r="K66" s="55">
        <v>1</v>
      </c>
    </row>
    <row r="67" spans="1:15">
      <c r="A67">
        <v>3</v>
      </c>
      <c r="B67" t="s">
        <v>11</v>
      </c>
      <c r="C67">
        <v>3</v>
      </c>
      <c r="D67" t="str">
        <f t="shared" si="1"/>
        <v>3-F-3</v>
      </c>
      <c r="H67">
        <v>1</v>
      </c>
      <c r="K67" s="55">
        <v>1</v>
      </c>
    </row>
    <row r="68" spans="1:15">
      <c r="A68">
        <v>3</v>
      </c>
      <c r="B68" t="s">
        <v>12</v>
      </c>
      <c r="C68">
        <v>1</v>
      </c>
      <c r="D68" t="str">
        <f t="shared" si="1"/>
        <v>3-G-1</v>
      </c>
      <c r="H68">
        <v>1</v>
      </c>
      <c r="K68" s="55">
        <v>1</v>
      </c>
    </row>
    <row r="69" spans="1:15">
      <c r="A69">
        <v>3</v>
      </c>
      <c r="B69" t="s">
        <v>12</v>
      </c>
      <c r="C69">
        <v>2</v>
      </c>
      <c r="D69" t="str">
        <f t="shared" si="1"/>
        <v>3-G-2</v>
      </c>
      <c r="H69">
        <v>1</v>
      </c>
      <c r="K69" s="55">
        <v>1</v>
      </c>
    </row>
    <row r="70" spans="1:15">
      <c r="A70">
        <v>3</v>
      </c>
      <c r="B70" t="s">
        <v>12</v>
      </c>
      <c r="C70">
        <v>3</v>
      </c>
      <c r="D70" t="str">
        <f t="shared" si="1"/>
        <v>3-G-3</v>
      </c>
      <c r="H70">
        <v>1</v>
      </c>
      <c r="K70" s="55">
        <v>1</v>
      </c>
    </row>
    <row r="71" spans="1:15">
      <c r="A71">
        <v>3</v>
      </c>
      <c r="B71" t="s">
        <v>14</v>
      </c>
      <c r="C71">
        <v>1</v>
      </c>
      <c r="D71" t="str">
        <f t="shared" si="1"/>
        <v>3-I-1</v>
      </c>
      <c r="H71">
        <v>1</v>
      </c>
      <c r="L71" s="55">
        <v>1</v>
      </c>
    </row>
    <row r="72" spans="1:15">
      <c r="A72">
        <v>3</v>
      </c>
      <c r="B72" t="s">
        <v>14</v>
      </c>
      <c r="C72">
        <v>2</v>
      </c>
      <c r="D72" t="str">
        <f t="shared" si="1"/>
        <v>3-I-2</v>
      </c>
      <c r="H72">
        <v>1</v>
      </c>
      <c r="L72" s="55">
        <v>1</v>
      </c>
    </row>
    <row r="73" spans="1:15">
      <c r="A73">
        <v>3</v>
      </c>
      <c r="B73" t="s">
        <v>14</v>
      </c>
      <c r="C73">
        <v>3</v>
      </c>
      <c r="D73" t="str">
        <f t="shared" si="1"/>
        <v>3-I-3</v>
      </c>
      <c r="H73">
        <v>1</v>
      </c>
      <c r="L73" s="55">
        <v>1</v>
      </c>
    </row>
    <row r="74" spans="1:15">
      <c r="A74">
        <v>4</v>
      </c>
      <c r="B74" t="s">
        <v>6</v>
      </c>
      <c r="C74">
        <v>1</v>
      </c>
      <c r="D74" t="str">
        <f t="shared" si="1"/>
        <v>4-A-1</v>
      </c>
      <c r="H74">
        <v>1</v>
      </c>
      <c r="L74" s="55">
        <v>1</v>
      </c>
    </row>
    <row r="75" spans="1:15">
      <c r="A75">
        <v>4</v>
      </c>
      <c r="B75" t="s">
        <v>6</v>
      </c>
      <c r="C75">
        <v>2</v>
      </c>
      <c r="D75" t="str">
        <f t="shared" si="1"/>
        <v>4-A-2</v>
      </c>
      <c r="E75">
        <v>1</v>
      </c>
    </row>
    <row r="76" spans="1:15">
      <c r="A76">
        <v>4</v>
      </c>
      <c r="B76" t="s">
        <v>6</v>
      </c>
      <c r="C76">
        <v>3</v>
      </c>
      <c r="D76" t="str">
        <f t="shared" si="1"/>
        <v>4-A-3</v>
      </c>
      <c r="E76">
        <v>1</v>
      </c>
    </row>
    <row r="77" spans="1:15">
      <c r="A77">
        <v>4</v>
      </c>
      <c r="B77" t="s">
        <v>8</v>
      </c>
      <c r="C77">
        <v>1</v>
      </c>
      <c r="D77" t="str">
        <f t="shared" si="1"/>
        <v>4-C-1</v>
      </c>
      <c r="E77">
        <v>1</v>
      </c>
    </row>
    <row r="78" spans="1:15">
      <c r="A78">
        <v>4</v>
      </c>
      <c r="B78" t="s">
        <v>8</v>
      </c>
      <c r="C78">
        <v>2</v>
      </c>
      <c r="D78" t="str">
        <f t="shared" si="1"/>
        <v>4-C-2</v>
      </c>
      <c r="E78">
        <v>1</v>
      </c>
    </row>
    <row r="79" spans="1:15">
      <c r="A79">
        <v>4</v>
      </c>
      <c r="B79" t="s">
        <v>8</v>
      </c>
      <c r="C79">
        <v>3</v>
      </c>
      <c r="D79" t="str">
        <f t="shared" si="1"/>
        <v>4-C-3</v>
      </c>
      <c r="E79">
        <v>1</v>
      </c>
    </row>
    <row r="80" spans="1:15">
      <c r="A80">
        <v>4</v>
      </c>
      <c r="B80" t="s">
        <v>9</v>
      </c>
      <c r="C80">
        <v>1</v>
      </c>
      <c r="D80" t="str">
        <f t="shared" si="1"/>
        <v>4-D-1</v>
      </c>
      <c r="F80">
        <v>1</v>
      </c>
      <c r="O80" s="26">
        <v>1</v>
      </c>
    </row>
    <row r="81" spans="1:17">
      <c r="A81">
        <v>4</v>
      </c>
      <c r="B81" t="s">
        <v>9</v>
      </c>
      <c r="C81">
        <v>2</v>
      </c>
      <c r="D81" t="str">
        <f t="shared" si="1"/>
        <v>4-D-2</v>
      </c>
      <c r="E81">
        <v>1</v>
      </c>
    </row>
    <row r="82" spans="1:17">
      <c r="A82">
        <v>4</v>
      </c>
      <c r="B82" t="s">
        <v>9</v>
      </c>
      <c r="C82">
        <v>3</v>
      </c>
      <c r="D82" t="str">
        <f t="shared" si="1"/>
        <v>4-D-3</v>
      </c>
      <c r="F82">
        <v>1</v>
      </c>
      <c r="Q82" s="26">
        <v>1</v>
      </c>
    </row>
    <row r="83" spans="1:17">
      <c r="A83">
        <v>4</v>
      </c>
      <c r="B83" t="s">
        <v>11</v>
      </c>
      <c r="C83">
        <v>1</v>
      </c>
      <c r="D83" t="str">
        <f t="shared" si="1"/>
        <v>4-F-1</v>
      </c>
      <c r="E83">
        <v>1</v>
      </c>
    </row>
    <row r="84" spans="1:17">
      <c r="A84">
        <v>4</v>
      </c>
      <c r="B84" t="s">
        <v>11</v>
      </c>
      <c r="C84">
        <v>2</v>
      </c>
      <c r="D84" t="str">
        <f t="shared" si="1"/>
        <v>4-F-2</v>
      </c>
      <c r="E84">
        <v>1</v>
      </c>
    </row>
    <row r="85" spans="1:17">
      <c r="A85">
        <v>4</v>
      </c>
      <c r="B85" t="s">
        <v>11</v>
      </c>
      <c r="C85">
        <v>3</v>
      </c>
      <c r="D85" t="str">
        <f t="shared" si="1"/>
        <v>4-F-3</v>
      </c>
      <c r="E85">
        <v>1</v>
      </c>
    </row>
    <row r="86" spans="1:17">
      <c r="A86">
        <v>4</v>
      </c>
      <c r="B86" t="s">
        <v>12</v>
      </c>
      <c r="C86">
        <v>1</v>
      </c>
      <c r="D86" t="str">
        <f t="shared" si="1"/>
        <v>4-G-1</v>
      </c>
      <c r="F86">
        <v>1</v>
      </c>
      <c r="O86" s="26">
        <v>1</v>
      </c>
    </row>
    <row r="87" spans="1:17">
      <c r="A87">
        <v>4</v>
      </c>
      <c r="B87" t="s">
        <v>12</v>
      </c>
      <c r="C87">
        <v>2</v>
      </c>
      <c r="D87" t="str">
        <f t="shared" si="1"/>
        <v>4-G-2</v>
      </c>
      <c r="F87">
        <v>1</v>
      </c>
      <c r="O87" s="26">
        <v>1</v>
      </c>
    </row>
    <row r="88" spans="1:17">
      <c r="A88">
        <v>4</v>
      </c>
      <c r="B88" t="s">
        <v>12</v>
      </c>
      <c r="C88">
        <v>3</v>
      </c>
      <c r="D88" t="str">
        <f t="shared" si="1"/>
        <v>4-G-3</v>
      </c>
      <c r="F88">
        <v>1</v>
      </c>
      <c r="O88" s="26">
        <v>1</v>
      </c>
    </row>
    <row r="89" spans="1:17">
      <c r="A89">
        <v>4</v>
      </c>
      <c r="B89" t="s">
        <v>14</v>
      </c>
      <c r="C89">
        <v>1</v>
      </c>
      <c r="D89" t="str">
        <f t="shared" si="1"/>
        <v>4-I-1</v>
      </c>
      <c r="H89">
        <v>1</v>
      </c>
      <c r="J89" s="54">
        <v>1</v>
      </c>
    </row>
    <row r="90" spans="1:17">
      <c r="A90">
        <v>4</v>
      </c>
      <c r="B90" t="s">
        <v>14</v>
      </c>
      <c r="C90">
        <v>2</v>
      </c>
      <c r="D90" t="str">
        <f t="shared" si="1"/>
        <v>4-I-2</v>
      </c>
      <c r="E90">
        <v>1</v>
      </c>
    </row>
    <row r="91" spans="1:17">
      <c r="A91">
        <v>4</v>
      </c>
      <c r="B91" t="s">
        <v>14</v>
      </c>
      <c r="C91">
        <v>3</v>
      </c>
      <c r="D91" t="str">
        <f t="shared" si="1"/>
        <v>4-I-3</v>
      </c>
      <c r="H91">
        <v>1</v>
      </c>
      <c r="J91" s="54">
        <v>1</v>
      </c>
    </row>
    <row r="92" spans="1:17">
      <c r="A92">
        <v>5</v>
      </c>
      <c r="B92" t="s">
        <v>6</v>
      </c>
      <c r="C92">
        <v>1</v>
      </c>
      <c r="D92" t="str">
        <f t="shared" si="1"/>
        <v>5-A-1</v>
      </c>
      <c r="E92">
        <v>1</v>
      </c>
    </row>
    <row r="93" spans="1:17">
      <c r="A93">
        <v>5</v>
      </c>
      <c r="B93" t="s">
        <v>6</v>
      </c>
      <c r="C93">
        <v>2</v>
      </c>
      <c r="D93" t="str">
        <f t="shared" si="1"/>
        <v>5-A-2</v>
      </c>
      <c r="E93">
        <v>1</v>
      </c>
    </row>
    <row r="94" spans="1:17">
      <c r="A94">
        <v>5</v>
      </c>
      <c r="B94" t="s">
        <v>6</v>
      </c>
      <c r="C94">
        <v>3</v>
      </c>
      <c r="D94" t="str">
        <f t="shared" si="1"/>
        <v>5-A-3</v>
      </c>
      <c r="E94">
        <v>1</v>
      </c>
    </row>
    <row r="95" spans="1:17">
      <c r="A95">
        <v>5</v>
      </c>
      <c r="B95" t="s">
        <v>8</v>
      </c>
      <c r="C95">
        <v>1</v>
      </c>
      <c r="D95" t="str">
        <f t="shared" si="1"/>
        <v>5-C-1</v>
      </c>
      <c r="E95">
        <v>1</v>
      </c>
    </row>
    <row r="96" spans="1:17">
      <c r="A96">
        <v>5</v>
      </c>
      <c r="B96" t="s">
        <v>8</v>
      </c>
      <c r="C96">
        <v>2</v>
      </c>
      <c r="D96" t="str">
        <f t="shared" si="1"/>
        <v>5-C-2</v>
      </c>
      <c r="F96">
        <v>1</v>
      </c>
      <c r="Q96" s="26">
        <v>1</v>
      </c>
    </row>
    <row r="97" spans="1:17">
      <c r="A97">
        <v>5</v>
      </c>
      <c r="B97" t="s">
        <v>8</v>
      </c>
      <c r="C97">
        <v>3</v>
      </c>
      <c r="D97" t="str">
        <f t="shared" si="1"/>
        <v>5-C-3</v>
      </c>
      <c r="F97">
        <v>1</v>
      </c>
      <c r="Q97" s="26">
        <v>1</v>
      </c>
    </row>
    <row r="98" spans="1:17">
      <c r="A98">
        <v>5</v>
      </c>
      <c r="B98" t="s">
        <v>9</v>
      </c>
      <c r="C98">
        <v>1</v>
      </c>
      <c r="D98" t="str">
        <f t="shared" si="1"/>
        <v>5-D-1</v>
      </c>
      <c r="E98">
        <v>1</v>
      </c>
    </row>
    <row r="99" spans="1:17">
      <c r="A99">
        <v>5</v>
      </c>
      <c r="B99" t="s">
        <v>9</v>
      </c>
      <c r="C99">
        <v>2</v>
      </c>
      <c r="D99" t="str">
        <f t="shared" si="1"/>
        <v>5-D-2</v>
      </c>
      <c r="E99">
        <v>1</v>
      </c>
    </row>
    <row r="100" spans="1:17">
      <c r="A100">
        <v>5</v>
      </c>
      <c r="B100" t="s">
        <v>9</v>
      </c>
      <c r="C100">
        <v>3</v>
      </c>
      <c r="D100" t="str">
        <f t="shared" si="1"/>
        <v>5-D-3</v>
      </c>
      <c r="E100">
        <v>1</v>
      </c>
    </row>
    <row r="101" spans="1:17">
      <c r="A101">
        <v>5</v>
      </c>
      <c r="B101" t="s">
        <v>11</v>
      </c>
      <c r="C101">
        <v>1</v>
      </c>
      <c r="D101" t="str">
        <f t="shared" si="1"/>
        <v>5-F-1</v>
      </c>
      <c r="E101">
        <v>1</v>
      </c>
    </row>
    <row r="102" spans="1:17">
      <c r="A102">
        <v>5</v>
      </c>
      <c r="B102" t="s">
        <v>11</v>
      </c>
      <c r="C102">
        <v>2</v>
      </c>
      <c r="D102" t="str">
        <f t="shared" si="1"/>
        <v>5-F-2</v>
      </c>
      <c r="E102">
        <v>1</v>
      </c>
    </row>
    <row r="103" spans="1:17">
      <c r="A103">
        <v>5</v>
      </c>
      <c r="B103" t="s">
        <v>11</v>
      </c>
      <c r="C103">
        <v>3</v>
      </c>
      <c r="D103" t="str">
        <f t="shared" si="1"/>
        <v>5-F-3</v>
      </c>
      <c r="E103">
        <v>1</v>
      </c>
    </row>
    <row r="104" spans="1:17">
      <c r="A104">
        <v>5</v>
      </c>
      <c r="B104" t="s">
        <v>12</v>
      </c>
      <c r="C104">
        <v>1</v>
      </c>
      <c r="D104" t="str">
        <f t="shared" si="1"/>
        <v>5-G-1</v>
      </c>
      <c r="F104">
        <v>1</v>
      </c>
      <c r="Q104" s="26">
        <v>1</v>
      </c>
    </row>
    <row r="105" spans="1:17">
      <c r="A105">
        <v>5</v>
      </c>
      <c r="B105" t="s">
        <v>12</v>
      </c>
      <c r="C105">
        <v>2</v>
      </c>
      <c r="D105" t="str">
        <f t="shared" si="1"/>
        <v>5-G-2</v>
      </c>
      <c r="E105">
        <v>1</v>
      </c>
    </row>
    <row r="106" spans="1:17">
      <c r="A106">
        <v>5</v>
      </c>
      <c r="B106" t="s">
        <v>12</v>
      </c>
      <c r="C106">
        <v>3</v>
      </c>
      <c r="D106" t="str">
        <f t="shared" si="1"/>
        <v>5-G-3</v>
      </c>
      <c r="H106">
        <v>1</v>
      </c>
      <c r="J106" s="54">
        <v>1</v>
      </c>
    </row>
    <row r="107" spans="1:17">
      <c r="A107">
        <v>5</v>
      </c>
      <c r="B107" t="s">
        <v>14</v>
      </c>
      <c r="C107">
        <v>1</v>
      </c>
      <c r="D107" t="str">
        <f t="shared" si="1"/>
        <v>5-I-1</v>
      </c>
      <c r="E107">
        <v>1</v>
      </c>
    </row>
    <row r="108" spans="1:17">
      <c r="A108">
        <v>5</v>
      </c>
      <c r="B108" t="s">
        <v>14</v>
      </c>
      <c r="C108">
        <v>2</v>
      </c>
      <c r="D108" t="str">
        <f t="shared" si="1"/>
        <v>5-I-2</v>
      </c>
      <c r="F108">
        <v>1</v>
      </c>
      <c r="Q108" s="26">
        <v>1</v>
      </c>
    </row>
    <row r="109" spans="1:17">
      <c r="A109">
        <v>5</v>
      </c>
      <c r="B109" t="s">
        <v>14</v>
      </c>
      <c r="C109">
        <v>3</v>
      </c>
      <c r="D109" t="str">
        <f t="shared" si="1"/>
        <v>5-I-3</v>
      </c>
      <c r="E109">
        <v>1</v>
      </c>
    </row>
    <row r="110" spans="1:17">
      <c r="A110">
        <v>6</v>
      </c>
      <c r="B110" t="s">
        <v>6</v>
      </c>
      <c r="C110">
        <v>1</v>
      </c>
      <c r="D110" t="str">
        <f t="shared" si="1"/>
        <v>6-A-1</v>
      </c>
      <c r="E110">
        <v>1</v>
      </c>
    </row>
    <row r="111" spans="1:17">
      <c r="A111">
        <v>6</v>
      </c>
      <c r="B111" t="s">
        <v>6</v>
      </c>
      <c r="C111">
        <v>2</v>
      </c>
      <c r="D111" t="str">
        <f t="shared" si="1"/>
        <v>6-A-2</v>
      </c>
      <c r="E111">
        <v>1</v>
      </c>
    </row>
    <row r="112" spans="1:17">
      <c r="A112">
        <v>6</v>
      </c>
      <c r="B112" t="s">
        <v>6</v>
      </c>
      <c r="C112">
        <v>3</v>
      </c>
      <c r="D112" t="str">
        <f t="shared" si="1"/>
        <v>6-A-3</v>
      </c>
      <c r="E112">
        <v>1</v>
      </c>
    </row>
    <row r="113" spans="1:16">
      <c r="A113">
        <v>6</v>
      </c>
      <c r="B113" t="s">
        <v>8</v>
      </c>
      <c r="C113">
        <v>1</v>
      </c>
      <c r="D113" t="str">
        <f t="shared" si="1"/>
        <v>6-C-1</v>
      </c>
      <c r="E113">
        <v>1</v>
      </c>
    </row>
    <row r="114" spans="1:16">
      <c r="A114">
        <v>6</v>
      </c>
      <c r="B114" t="s">
        <v>8</v>
      </c>
      <c r="C114">
        <v>2</v>
      </c>
      <c r="D114" t="str">
        <f t="shared" si="1"/>
        <v>6-C-2</v>
      </c>
      <c r="E114">
        <v>1</v>
      </c>
    </row>
    <row r="115" spans="1:16">
      <c r="A115">
        <v>6</v>
      </c>
      <c r="B115" t="s">
        <v>8</v>
      </c>
      <c r="C115">
        <v>3</v>
      </c>
      <c r="D115" t="str">
        <f t="shared" si="1"/>
        <v>6-C-3</v>
      </c>
      <c r="E115">
        <v>1</v>
      </c>
    </row>
    <row r="116" spans="1:16">
      <c r="A116">
        <v>6</v>
      </c>
      <c r="B116" t="s">
        <v>9</v>
      </c>
      <c r="C116">
        <v>1</v>
      </c>
      <c r="D116" t="str">
        <f t="shared" si="1"/>
        <v>6-D-1</v>
      </c>
      <c r="F116">
        <v>1</v>
      </c>
      <c r="P116" s="26">
        <v>1</v>
      </c>
    </row>
    <row r="117" spans="1:16">
      <c r="A117">
        <v>6</v>
      </c>
      <c r="B117" t="s">
        <v>9</v>
      </c>
      <c r="C117">
        <v>2</v>
      </c>
      <c r="D117" t="str">
        <f t="shared" si="1"/>
        <v>6-D-2</v>
      </c>
      <c r="F117">
        <v>1</v>
      </c>
      <c r="P117" s="26">
        <v>1</v>
      </c>
    </row>
    <row r="118" spans="1:16">
      <c r="A118">
        <v>6</v>
      </c>
      <c r="B118" t="s">
        <v>9</v>
      </c>
      <c r="C118">
        <v>3</v>
      </c>
      <c r="D118" t="str">
        <f t="shared" si="1"/>
        <v>6-D-3</v>
      </c>
      <c r="E118">
        <v>1</v>
      </c>
    </row>
    <row r="119" spans="1:16">
      <c r="A119">
        <v>6</v>
      </c>
      <c r="B119" t="s">
        <v>11</v>
      </c>
      <c r="C119">
        <v>1</v>
      </c>
      <c r="D119" t="str">
        <f t="shared" si="1"/>
        <v>6-F-1</v>
      </c>
      <c r="E119">
        <v>1</v>
      </c>
    </row>
    <row r="120" spans="1:16">
      <c r="A120">
        <v>6</v>
      </c>
      <c r="B120" t="s">
        <v>11</v>
      </c>
      <c r="C120">
        <v>2</v>
      </c>
      <c r="D120" t="str">
        <f t="shared" si="1"/>
        <v>6-F-2</v>
      </c>
      <c r="E120">
        <v>1</v>
      </c>
    </row>
    <row r="121" spans="1:16">
      <c r="A121">
        <v>6</v>
      </c>
      <c r="B121" t="s">
        <v>11</v>
      </c>
      <c r="C121">
        <v>3</v>
      </c>
      <c r="D121" t="str">
        <f t="shared" si="1"/>
        <v>6-F-3</v>
      </c>
      <c r="E121">
        <v>1</v>
      </c>
    </row>
    <row r="122" spans="1:16">
      <c r="A122">
        <v>6</v>
      </c>
      <c r="B122" t="s">
        <v>12</v>
      </c>
      <c r="C122">
        <v>1</v>
      </c>
      <c r="D122" t="str">
        <f t="shared" si="1"/>
        <v>6-G-1</v>
      </c>
      <c r="F122">
        <v>1</v>
      </c>
      <c r="P122" s="26">
        <v>1</v>
      </c>
    </row>
    <row r="123" spans="1:16">
      <c r="A123">
        <v>6</v>
      </c>
      <c r="B123" t="s">
        <v>12</v>
      </c>
      <c r="C123">
        <v>2</v>
      </c>
      <c r="D123" t="str">
        <f t="shared" si="1"/>
        <v>6-G-2</v>
      </c>
      <c r="F123">
        <v>1</v>
      </c>
      <c r="P123" s="26">
        <v>1</v>
      </c>
    </row>
    <row r="124" spans="1:16">
      <c r="A124">
        <v>6</v>
      </c>
      <c r="B124" t="s">
        <v>12</v>
      </c>
      <c r="C124">
        <v>3</v>
      </c>
      <c r="D124" t="str">
        <f t="shared" si="1"/>
        <v>6-G-3</v>
      </c>
      <c r="E124">
        <v>1</v>
      </c>
    </row>
    <row r="125" spans="1:16">
      <c r="A125">
        <v>6</v>
      </c>
      <c r="B125" t="s">
        <v>14</v>
      </c>
      <c r="C125">
        <v>1</v>
      </c>
      <c r="D125" t="str">
        <f t="shared" si="1"/>
        <v>6-I-1</v>
      </c>
      <c r="E125">
        <v>1</v>
      </c>
    </row>
    <row r="126" spans="1:16">
      <c r="A126">
        <v>6</v>
      </c>
      <c r="B126" t="s">
        <v>14</v>
      </c>
      <c r="C126">
        <v>2</v>
      </c>
      <c r="D126" t="str">
        <f t="shared" si="1"/>
        <v>6-I-2</v>
      </c>
      <c r="F126">
        <v>1</v>
      </c>
      <c r="P126" s="26">
        <v>1</v>
      </c>
    </row>
    <row r="127" spans="1:16">
      <c r="A127">
        <v>6</v>
      </c>
      <c r="B127" t="s">
        <v>14</v>
      </c>
      <c r="C127">
        <v>3</v>
      </c>
      <c r="D127" t="str">
        <f t="shared" si="1"/>
        <v>6-I-3</v>
      </c>
      <c r="F127">
        <v>1</v>
      </c>
      <c r="O127" s="26">
        <v>1</v>
      </c>
    </row>
    <row r="128" spans="1:16">
      <c r="A128">
        <v>7</v>
      </c>
      <c r="B128" t="s">
        <v>6</v>
      </c>
      <c r="C128">
        <v>1</v>
      </c>
      <c r="D128" t="str">
        <f t="shared" si="1"/>
        <v>7-A-1</v>
      </c>
      <c r="E128">
        <v>1</v>
      </c>
    </row>
    <row r="129" spans="1:16">
      <c r="A129">
        <v>7</v>
      </c>
      <c r="B129" t="s">
        <v>6</v>
      </c>
      <c r="C129">
        <v>2</v>
      </c>
      <c r="D129" t="str">
        <f t="shared" si="1"/>
        <v>7-A-2</v>
      </c>
      <c r="E129">
        <v>1</v>
      </c>
    </row>
    <row r="130" spans="1:16">
      <c r="A130">
        <v>7</v>
      </c>
      <c r="B130" t="s">
        <v>6</v>
      </c>
      <c r="C130">
        <v>3</v>
      </c>
      <c r="D130" t="str">
        <f t="shared" ref="D130:D163" si="2">A130&amp;"-"&amp;B130&amp;"-"&amp;C130</f>
        <v>7-A-3</v>
      </c>
      <c r="H130">
        <v>1</v>
      </c>
      <c r="L130" s="55">
        <v>1</v>
      </c>
    </row>
    <row r="131" spans="1:16">
      <c r="A131">
        <v>7</v>
      </c>
      <c r="B131" t="s">
        <v>8</v>
      </c>
      <c r="C131">
        <v>1</v>
      </c>
      <c r="D131" t="str">
        <f t="shared" si="2"/>
        <v>7-C-1</v>
      </c>
      <c r="E131">
        <v>1</v>
      </c>
    </row>
    <row r="132" spans="1:16">
      <c r="A132">
        <v>7</v>
      </c>
      <c r="B132" t="s">
        <v>8</v>
      </c>
      <c r="C132">
        <v>2</v>
      </c>
      <c r="D132" t="str">
        <f t="shared" si="2"/>
        <v>7-C-2</v>
      </c>
      <c r="E132">
        <v>1</v>
      </c>
    </row>
    <row r="133" spans="1:16">
      <c r="A133">
        <v>7</v>
      </c>
      <c r="B133" t="s">
        <v>8</v>
      </c>
      <c r="C133">
        <v>3</v>
      </c>
      <c r="D133" t="str">
        <f t="shared" si="2"/>
        <v>7-C-3</v>
      </c>
      <c r="E133">
        <v>1</v>
      </c>
    </row>
    <row r="134" spans="1:16">
      <c r="A134">
        <v>7</v>
      </c>
      <c r="B134" t="s">
        <v>9</v>
      </c>
      <c r="C134">
        <v>1</v>
      </c>
      <c r="D134" t="str">
        <f t="shared" si="2"/>
        <v>7-D-1</v>
      </c>
      <c r="E134">
        <v>1</v>
      </c>
    </row>
    <row r="135" spans="1:16">
      <c r="A135">
        <v>7</v>
      </c>
      <c r="B135" t="s">
        <v>9</v>
      </c>
      <c r="C135">
        <v>2</v>
      </c>
      <c r="D135" t="str">
        <f t="shared" si="2"/>
        <v>7-D-2</v>
      </c>
      <c r="H135">
        <v>1</v>
      </c>
      <c r="L135" s="55">
        <v>1</v>
      </c>
    </row>
    <row r="136" spans="1:16">
      <c r="A136">
        <v>7</v>
      </c>
      <c r="B136" t="s">
        <v>9</v>
      </c>
      <c r="C136">
        <v>3</v>
      </c>
      <c r="D136" t="str">
        <f t="shared" si="2"/>
        <v>7-D-3</v>
      </c>
      <c r="H136">
        <v>1</v>
      </c>
      <c r="L136" s="55">
        <v>1</v>
      </c>
    </row>
    <row r="137" spans="1:16">
      <c r="A137">
        <v>7</v>
      </c>
      <c r="B137" t="s">
        <v>11</v>
      </c>
      <c r="C137">
        <v>1</v>
      </c>
      <c r="D137" t="str">
        <f t="shared" si="2"/>
        <v>7-F-1</v>
      </c>
      <c r="F137">
        <v>1</v>
      </c>
      <c r="P137" s="26">
        <v>1</v>
      </c>
    </row>
    <row r="138" spans="1:16">
      <c r="A138">
        <v>7</v>
      </c>
      <c r="B138" t="s">
        <v>11</v>
      </c>
      <c r="C138">
        <v>2</v>
      </c>
      <c r="D138" t="str">
        <f t="shared" si="2"/>
        <v>7-F-2</v>
      </c>
      <c r="F138">
        <v>1</v>
      </c>
      <c r="P138" s="26">
        <v>1</v>
      </c>
    </row>
    <row r="139" spans="1:16">
      <c r="A139">
        <v>7</v>
      </c>
      <c r="B139" t="s">
        <v>11</v>
      </c>
      <c r="C139">
        <v>3</v>
      </c>
      <c r="D139" t="str">
        <f t="shared" si="2"/>
        <v>7-F-3</v>
      </c>
      <c r="H139">
        <v>1</v>
      </c>
      <c r="L139" s="55">
        <v>1</v>
      </c>
    </row>
    <row r="140" spans="1:16">
      <c r="A140">
        <v>7</v>
      </c>
      <c r="B140" t="s">
        <v>12</v>
      </c>
      <c r="C140">
        <v>1</v>
      </c>
      <c r="D140" t="str">
        <f t="shared" si="2"/>
        <v>7-G-1</v>
      </c>
      <c r="H140">
        <v>1</v>
      </c>
      <c r="L140" s="55">
        <v>1</v>
      </c>
    </row>
    <row r="141" spans="1:16">
      <c r="A141">
        <v>7</v>
      </c>
      <c r="B141" t="s">
        <v>12</v>
      </c>
      <c r="C141">
        <v>2</v>
      </c>
      <c r="D141" t="str">
        <f t="shared" si="2"/>
        <v>7-G-2</v>
      </c>
      <c r="H141">
        <v>1</v>
      </c>
      <c r="L141" s="55">
        <v>1</v>
      </c>
    </row>
    <row r="142" spans="1:16">
      <c r="A142">
        <v>7</v>
      </c>
      <c r="B142" t="s">
        <v>12</v>
      </c>
      <c r="C142">
        <v>3</v>
      </c>
      <c r="D142" t="str">
        <f t="shared" si="2"/>
        <v>7-G-3</v>
      </c>
      <c r="H142">
        <v>1</v>
      </c>
      <c r="L142" s="55">
        <v>1</v>
      </c>
    </row>
    <row r="143" spans="1:16">
      <c r="A143">
        <v>7</v>
      </c>
      <c r="B143" t="s">
        <v>14</v>
      </c>
      <c r="C143">
        <v>1</v>
      </c>
      <c r="D143" t="str">
        <f t="shared" si="2"/>
        <v>7-I-1</v>
      </c>
      <c r="F143">
        <v>1</v>
      </c>
      <c r="P143" s="26">
        <v>1</v>
      </c>
    </row>
    <row r="144" spans="1:16">
      <c r="A144">
        <v>7</v>
      </c>
      <c r="B144" t="s">
        <v>14</v>
      </c>
      <c r="C144">
        <v>2</v>
      </c>
      <c r="D144" t="str">
        <f t="shared" si="2"/>
        <v>7-I-2</v>
      </c>
      <c r="H144">
        <v>1</v>
      </c>
      <c r="L144" s="55">
        <v>1</v>
      </c>
    </row>
    <row r="145" spans="1:17">
      <c r="A145">
        <v>7</v>
      </c>
      <c r="B145" t="s">
        <v>14</v>
      </c>
      <c r="C145">
        <v>3</v>
      </c>
      <c r="D145" t="str">
        <f t="shared" si="2"/>
        <v>7-I-3</v>
      </c>
      <c r="H145">
        <v>1</v>
      </c>
      <c r="L145" s="55">
        <v>1</v>
      </c>
    </row>
    <row r="146" spans="1:17">
      <c r="A146">
        <v>8</v>
      </c>
      <c r="B146" t="s">
        <v>6</v>
      </c>
      <c r="C146">
        <v>1</v>
      </c>
      <c r="D146" t="str">
        <f t="shared" si="2"/>
        <v>8-A-1</v>
      </c>
      <c r="F146">
        <v>1</v>
      </c>
      <c r="Q146" s="26">
        <v>1</v>
      </c>
    </row>
    <row r="147" spans="1:17">
      <c r="A147">
        <v>8</v>
      </c>
      <c r="B147" t="s">
        <v>6</v>
      </c>
      <c r="C147">
        <v>2</v>
      </c>
      <c r="D147" t="str">
        <f t="shared" si="2"/>
        <v>8-A-2</v>
      </c>
      <c r="F147">
        <v>1</v>
      </c>
      <c r="Q147" s="26">
        <v>1</v>
      </c>
    </row>
    <row r="148" spans="1:17">
      <c r="A148">
        <v>8</v>
      </c>
      <c r="B148" t="s">
        <v>6</v>
      </c>
      <c r="C148">
        <v>3</v>
      </c>
      <c r="D148" t="str">
        <f t="shared" si="2"/>
        <v>8-A-3</v>
      </c>
      <c r="F148">
        <v>1</v>
      </c>
      <c r="Q148" s="26">
        <v>1</v>
      </c>
    </row>
    <row r="149" spans="1:17">
      <c r="A149">
        <v>8</v>
      </c>
      <c r="B149" t="s">
        <v>8</v>
      </c>
      <c r="C149">
        <v>1</v>
      </c>
      <c r="D149" t="str">
        <f t="shared" si="2"/>
        <v>8-C-1</v>
      </c>
      <c r="F149">
        <v>1</v>
      </c>
      <c r="O149" s="26">
        <v>1</v>
      </c>
    </row>
    <row r="150" spans="1:17">
      <c r="A150">
        <v>8</v>
      </c>
      <c r="B150" t="s">
        <v>8</v>
      </c>
      <c r="C150">
        <v>2</v>
      </c>
      <c r="D150" t="str">
        <f t="shared" si="2"/>
        <v>8-C-2</v>
      </c>
      <c r="E150">
        <v>1</v>
      </c>
    </row>
    <row r="151" spans="1:17">
      <c r="A151">
        <v>8</v>
      </c>
      <c r="B151" t="s">
        <v>8</v>
      </c>
      <c r="C151">
        <v>3</v>
      </c>
      <c r="D151" t="str">
        <f t="shared" si="2"/>
        <v>8-C-3</v>
      </c>
      <c r="F151">
        <v>1</v>
      </c>
      <c r="O151" s="26">
        <v>1</v>
      </c>
    </row>
    <row r="152" spans="1:17">
      <c r="A152">
        <v>8</v>
      </c>
      <c r="B152" t="s">
        <v>9</v>
      </c>
      <c r="C152">
        <v>1</v>
      </c>
      <c r="D152" t="str">
        <f t="shared" si="2"/>
        <v>8-D-1</v>
      </c>
      <c r="F152">
        <v>1</v>
      </c>
      <c r="O152" s="26">
        <v>1</v>
      </c>
    </row>
    <row r="153" spans="1:17">
      <c r="A153">
        <v>8</v>
      </c>
      <c r="B153" t="s">
        <v>9</v>
      </c>
      <c r="C153">
        <v>2</v>
      </c>
      <c r="D153" t="str">
        <f t="shared" si="2"/>
        <v>8-D-2</v>
      </c>
      <c r="E153">
        <v>1</v>
      </c>
    </row>
    <row r="154" spans="1:17">
      <c r="A154">
        <v>8</v>
      </c>
      <c r="B154" t="s">
        <v>9</v>
      </c>
      <c r="C154">
        <v>3</v>
      </c>
      <c r="D154" t="str">
        <f t="shared" si="2"/>
        <v>8-D-3</v>
      </c>
      <c r="F154">
        <v>1</v>
      </c>
      <c r="O154" s="26">
        <v>1</v>
      </c>
    </row>
    <row r="155" spans="1:17">
      <c r="A155">
        <v>8</v>
      </c>
      <c r="B155" t="s">
        <v>11</v>
      </c>
      <c r="C155">
        <v>1</v>
      </c>
      <c r="D155" t="str">
        <f t="shared" si="2"/>
        <v>8-F-1</v>
      </c>
      <c r="F155">
        <v>1</v>
      </c>
      <c r="O155" s="26">
        <v>1</v>
      </c>
    </row>
    <row r="156" spans="1:17">
      <c r="A156">
        <v>8</v>
      </c>
      <c r="B156" t="s">
        <v>11</v>
      </c>
      <c r="C156">
        <v>2</v>
      </c>
      <c r="D156" t="str">
        <f t="shared" si="2"/>
        <v>8-F-2</v>
      </c>
      <c r="F156">
        <v>1</v>
      </c>
      <c r="O156" s="26">
        <v>1</v>
      </c>
    </row>
    <row r="157" spans="1:17">
      <c r="A157">
        <v>8</v>
      </c>
      <c r="B157" t="s">
        <v>11</v>
      </c>
      <c r="C157">
        <v>3</v>
      </c>
      <c r="D157" t="str">
        <f t="shared" si="2"/>
        <v>8-F-3</v>
      </c>
      <c r="F157">
        <v>1</v>
      </c>
      <c r="O157" s="26">
        <v>1</v>
      </c>
    </row>
    <row r="158" spans="1:17">
      <c r="A158">
        <v>8</v>
      </c>
      <c r="B158" t="s">
        <v>12</v>
      </c>
      <c r="C158">
        <v>1</v>
      </c>
      <c r="D158" t="str">
        <f t="shared" si="2"/>
        <v>8-G-1</v>
      </c>
      <c r="F158">
        <v>1</v>
      </c>
      <c r="O158" s="26">
        <v>1</v>
      </c>
    </row>
    <row r="159" spans="1:17">
      <c r="A159">
        <v>8</v>
      </c>
      <c r="B159" t="s">
        <v>12</v>
      </c>
      <c r="C159">
        <v>2</v>
      </c>
      <c r="D159" t="str">
        <f t="shared" si="2"/>
        <v>8-G-2</v>
      </c>
      <c r="F159">
        <v>1</v>
      </c>
      <c r="O159" s="26">
        <v>1</v>
      </c>
    </row>
    <row r="160" spans="1:17">
      <c r="A160">
        <v>8</v>
      </c>
      <c r="B160" t="s">
        <v>12</v>
      </c>
      <c r="C160">
        <v>3</v>
      </c>
      <c r="D160" t="str">
        <f t="shared" si="2"/>
        <v>8-G-3</v>
      </c>
      <c r="F160">
        <v>1</v>
      </c>
      <c r="O160" s="26">
        <v>1</v>
      </c>
    </row>
    <row r="161" spans="1:17">
      <c r="A161">
        <v>8</v>
      </c>
      <c r="B161" t="s">
        <v>14</v>
      </c>
      <c r="C161">
        <v>1</v>
      </c>
      <c r="D161" t="str">
        <f t="shared" si="2"/>
        <v>8-I-1</v>
      </c>
      <c r="H161">
        <v>1</v>
      </c>
      <c r="J161" s="54">
        <v>1</v>
      </c>
    </row>
    <row r="162" spans="1:17">
      <c r="A162">
        <v>8</v>
      </c>
      <c r="B162" t="s">
        <v>14</v>
      </c>
      <c r="C162">
        <v>2</v>
      </c>
      <c r="D162" t="str">
        <f t="shared" si="2"/>
        <v>8-I-2</v>
      </c>
      <c r="F162">
        <v>1</v>
      </c>
      <c r="Q162" s="26">
        <v>1</v>
      </c>
    </row>
    <row r="163" spans="1:17">
      <c r="A163">
        <v>8</v>
      </c>
      <c r="B163" t="s">
        <v>14</v>
      </c>
      <c r="C163">
        <v>3</v>
      </c>
      <c r="D163" t="str">
        <f t="shared" si="2"/>
        <v>8-I-3</v>
      </c>
      <c r="F163">
        <v>1</v>
      </c>
      <c r="Q163" s="26">
        <v>1</v>
      </c>
    </row>
    <row r="164" spans="1:17">
      <c r="A164" t="s">
        <v>37</v>
      </c>
      <c r="B164" t="s">
        <v>37</v>
      </c>
      <c r="C164" t="s">
        <v>37</v>
      </c>
      <c r="D164" t="s">
        <v>37</v>
      </c>
      <c r="E164">
        <f>SUM(E2:E163)</f>
        <v>58</v>
      </c>
      <c r="F164">
        <f t="shared" ref="F164:N164" si="3">SUM(F2:F163)</f>
        <v>71</v>
      </c>
      <c r="G164">
        <f t="shared" si="3"/>
        <v>0</v>
      </c>
      <c r="H164">
        <f t="shared" si="3"/>
        <v>33</v>
      </c>
      <c r="I164" s="57">
        <f>SUM(I2:I163)</f>
        <v>1</v>
      </c>
      <c r="J164" s="54">
        <f>SUM(J2:J163)</f>
        <v>7</v>
      </c>
      <c r="K164" s="55">
        <f>SUM(K2:K163)</f>
        <v>11</v>
      </c>
      <c r="L164" s="55">
        <f>SUM(L2:L163)</f>
        <v>14</v>
      </c>
      <c r="M164" s="56">
        <f>SUM(M2:M163)</f>
        <v>0</v>
      </c>
      <c r="N164" s="26">
        <f t="shared" si="3"/>
        <v>3</v>
      </c>
      <c r="O164" s="26">
        <f>SUM(O2:O163)</f>
        <v>15</v>
      </c>
      <c r="P164" s="26">
        <f>SUM(P2:P163)</f>
        <v>35</v>
      </c>
      <c r="Q164" s="26">
        <f>SUM(Q2:Q163)</f>
        <v>19</v>
      </c>
    </row>
  </sheetData>
  <autoFilter ref="A1:Q164" xr:uid="{BB563E77-EE44-42B3-ACD0-800B48D3E7DF}"/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F4877-837B-41BB-A651-CAFC9A749971}">
  <sheetPr>
    <tabColor theme="9" tint="0.79998168889431442"/>
  </sheetPr>
  <dimension ref="A1:P19"/>
  <sheetViews>
    <sheetView topLeftCell="F1" workbookViewId="0">
      <selection activeCell="D23" sqref="D23"/>
    </sheetView>
  </sheetViews>
  <sheetFormatPr defaultRowHeight="14.25"/>
  <cols>
    <col min="3" max="3" width="12.75" customWidth="1"/>
    <col min="4" max="4" width="17.5" customWidth="1"/>
    <col min="5" max="5" width="6.25" bestFit="1" customWidth="1"/>
    <col min="6" max="6" width="37" bestFit="1" customWidth="1"/>
    <col min="7" max="7" width="19.125" bestFit="1" customWidth="1"/>
    <col min="8" max="8" width="15.625" customWidth="1"/>
    <col min="9" max="10" width="18.25" customWidth="1"/>
    <col min="14" max="14" width="19.125" bestFit="1" customWidth="1"/>
    <col min="16" max="16" width="16" style="8" customWidth="1"/>
  </cols>
  <sheetData>
    <row r="1" spans="1:16">
      <c r="A1" s="24" t="s">
        <v>4</v>
      </c>
      <c r="B1" s="24" t="s">
        <v>0</v>
      </c>
      <c r="C1" s="24" t="s">
        <v>16</v>
      </c>
      <c r="D1" s="24" t="s">
        <v>21</v>
      </c>
      <c r="E1" s="24" t="s">
        <v>17</v>
      </c>
      <c r="F1" s="24" t="s">
        <v>69</v>
      </c>
      <c r="G1" s="24" t="s">
        <v>1</v>
      </c>
      <c r="H1" s="24" t="s">
        <v>68</v>
      </c>
      <c r="I1" s="24" t="s">
        <v>62</v>
      </c>
      <c r="J1" s="24" t="s">
        <v>72</v>
      </c>
      <c r="K1" s="24" t="s">
        <v>18</v>
      </c>
      <c r="L1" s="24" t="s">
        <v>23</v>
      </c>
      <c r="M1" s="24" t="s">
        <v>71</v>
      </c>
      <c r="N1" s="24" t="s">
        <v>70</v>
      </c>
      <c r="O1" s="24" t="s">
        <v>33</v>
      </c>
      <c r="P1" s="25" t="s">
        <v>34</v>
      </c>
    </row>
    <row r="2" spans="1:16">
      <c r="A2">
        <v>1</v>
      </c>
      <c r="B2">
        <f>SUMIF(result_20260611!$A:$A,sum_orient_20260611!$A2,INDEX(result_20260611!$A:$Z,0,MATCH(sum_orient_20260611!B$1,result_20260611!$1:$1,0)))</f>
        <v>15</v>
      </c>
      <c r="C2">
        <f>SUMIF(result_20260611!$A:$A,sum_orient_20260611!$A2,INDEX(result_20260611!$A:$Z,0,MATCH(sum_orient_20260611!C$1,result_20260611!$1:$1,0)))</f>
        <v>11</v>
      </c>
      <c r="D2">
        <f>SUMIF(result_20260611!$A:$A,sum_orient_20260611!$A2,INDEX(result_20260611!$A:$Z,0,MATCH(sum_orient_20260611!D$1,result_20260611!$1:$1,0)))</f>
        <v>0</v>
      </c>
      <c r="E2">
        <f>SUMIF(result_20260611!$A:$A,sum_orient_20260611!$A2,INDEX(result_20260611!$A:$Z,0,MATCH(sum_orient_20260611!E$1,result_20260611!$1:$1,0)))</f>
        <v>1</v>
      </c>
      <c r="F2">
        <f>SUMIF(result_20260611!$A:$A,sum_orient_20260611!$A2,INDEX(result_20260611!$A:$Z,0,MATCH(sum_orient_20260611!F$1,result_20260611!$1:$1,0)))</f>
        <v>3</v>
      </c>
      <c r="G2">
        <f>SUMIF(result_20260611!$A:$A,sum_orient_20260611!$A2,INDEX(result_20260611!$A:$Z,0,MATCH(sum_orient_20260611!G$1,result_20260611!$1:$1,0)))</f>
        <v>0</v>
      </c>
      <c r="H2">
        <f>SUMIF(result_20260611!$A:$A,sum_orient_20260611!$A2,INDEX(result_20260611!$A:$Z,0,MATCH(sum_orient_20260611!H$1,result_20260611!$1:$1,0)))</f>
        <v>0</v>
      </c>
      <c r="I2">
        <f>SUMIF(result_20260611!$A:$A,sum_orient_20260611!$A2,INDEX(result_20260611!$A:$Z,0,MATCH(sum_orient_20260611!I$1,result_20260611!$1:$1,0)))</f>
        <v>1</v>
      </c>
      <c r="J2">
        <f>SUMIF(result_20260611!$A:$A,sum_orient_20260611!$A2,INDEX(result_20260611!$A:$Z,0,MATCH(sum_orient_20260611!J$1,result_20260611!$1:$1,0)))</f>
        <v>0</v>
      </c>
      <c r="K2">
        <f>SUMIF(result_20260611!$A:$A,sum_orient_20260611!$A2,INDEX(result_20260611!$A:$Z,0,MATCH(sum_orient_20260611!K$1,result_20260611!$1:$1,0)))</f>
        <v>0</v>
      </c>
      <c r="L2">
        <f>SUMIF(result_20260611!$A:$A,sum_orient_20260611!$A2,INDEX(result_20260611!$A:$Z,0,MATCH(sum_orient_20260611!L$1,result_20260611!$1:$1,0)))</f>
        <v>0</v>
      </c>
      <c r="M2">
        <f>SUMIF(result_20260611!$A:$A,sum_orient_20260611!$A2,INDEX(result_20260611!$A:$Z,0,MATCH(sum_orient_20260611!M$1,result_20260611!$1:$1,0)))</f>
        <v>0</v>
      </c>
      <c r="N2">
        <f>SUMIF(result_20260611!$A:$A,sum_orient_20260611!$A2,INDEX(result_20260611!$A:$Z,0,MATCH(sum_orient_20260611!N$1,result_20260611!$1:$1,0)))</f>
        <v>9</v>
      </c>
      <c r="O2">
        <f>SUM(B2:E2)</f>
        <v>27</v>
      </c>
      <c r="P2" s="8">
        <f>SUM(B2+C2)/O2</f>
        <v>0.96296296296296291</v>
      </c>
    </row>
    <row r="3" spans="1:16">
      <c r="A3">
        <v>2</v>
      </c>
      <c r="B3">
        <f>SUMIF(result_20260611!$A:$A,sum_orient_20260611!$A3,INDEX(result_20260611!$A:$Z,0,MATCH(sum_orient_20260611!B$1,result_20260611!$1:$1,0)))</f>
        <v>0</v>
      </c>
      <c r="C3">
        <f>SUMIF(result_20260611!$A:$A,sum_orient_20260611!$A3,INDEX(result_20260611!$A:$Z,0,MATCH(sum_orient_20260611!C$1,result_20260611!$1:$1,0)))</f>
        <v>27</v>
      </c>
      <c r="D3">
        <f>SUMIF(result_20260611!$A:$A,sum_orient_20260611!$A3,INDEX(result_20260611!$A:$Z,0,MATCH(sum_orient_20260611!D$1,result_20260611!$1:$1,0)))</f>
        <v>0</v>
      </c>
      <c r="E3">
        <f>SUMIF(result_20260611!$A:$A,sum_orient_20260611!$A3,INDEX(result_20260611!$A:$Z,0,MATCH(sum_orient_20260611!E$1,result_20260611!$1:$1,0)))</f>
        <v>0</v>
      </c>
      <c r="F3">
        <f>SUMIF(result_20260611!$A:$A,sum_orient_20260611!$A3,INDEX(result_20260611!$A:$Z,0,MATCH(sum_orient_20260611!F$1,result_20260611!$1:$1,0)))</f>
        <v>0</v>
      </c>
      <c r="G3">
        <f>SUMIF(result_20260611!$A:$A,sum_orient_20260611!$A3,INDEX(result_20260611!$A:$Z,0,MATCH(sum_orient_20260611!G$1,result_20260611!$1:$1,0)))</f>
        <v>0</v>
      </c>
      <c r="H3">
        <f>SUMIF(result_20260611!$A:$A,sum_orient_20260611!$A3,INDEX(result_20260611!$A:$Z,0,MATCH(sum_orient_20260611!H$1,result_20260611!$1:$1,0)))</f>
        <v>0</v>
      </c>
      <c r="I3">
        <f>SUMIF(result_20260611!$A:$A,sum_orient_20260611!$A3,INDEX(result_20260611!$A:$Z,0,MATCH(sum_orient_20260611!I$1,result_20260611!$1:$1,0)))</f>
        <v>0</v>
      </c>
      <c r="J3">
        <f>SUMIF(result_20260611!$A:$A,sum_orient_20260611!$A3,INDEX(result_20260611!$A:$Z,0,MATCH(sum_orient_20260611!J$1,result_20260611!$1:$1,0)))</f>
        <v>27</v>
      </c>
      <c r="K3">
        <f>SUMIF(result_20260611!$A:$A,sum_orient_20260611!$A3,INDEX(result_20260611!$A:$Z,0,MATCH(sum_orient_20260611!K$1,result_20260611!$1:$1,0)))</f>
        <v>0</v>
      </c>
      <c r="L3">
        <f>SUMIF(result_20260611!$A:$A,sum_orient_20260611!$A3,INDEX(result_20260611!$A:$Z,0,MATCH(sum_orient_20260611!L$1,result_20260611!$1:$1,0)))</f>
        <v>0</v>
      </c>
      <c r="M3">
        <f>SUMIF(result_20260611!$A:$A,sum_orient_20260611!$A3,INDEX(result_20260611!$A:$Z,0,MATCH(sum_orient_20260611!M$1,result_20260611!$1:$1,0)))</f>
        <v>0</v>
      </c>
      <c r="N3">
        <f>SUMIF(result_20260611!$A:$A,sum_orient_20260611!$A3,INDEX(result_20260611!$A:$Z,0,MATCH(sum_orient_20260611!N$1,result_20260611!$1:$1,0)))</f>
        <v>0</v>
      </c>
      <c r="O3">
        <f t="shared" ref="O3:O9" si="0">SUM(B3:E3)</f>
        <v>27</v>
      </c>
      <c r="P3" s="8">
        <f t="shared" ref="P3:P10" si="1">SUM(B3+C3)/O3</f>
        <v>1</v>
      </c>
    </row>
    <row r="4" spans="1:16">
      <c r="A4">
        <v>3</v>
      </c>
      <c r="B4">
        <f>SUMIF(result_20260611!$A:$A,sum_orient_20260611!$A4,INDEX(result_20260611!$A:$Z,0,MATCH(sum_orient_20260611!B$1,result_20260611!$1:$1,0)))</f>
        <v>0</v>
      </c>
      <c r="C4">
        <f>SUMIF(result_20260611!$A:$A,sum_orient_20260611!$A4,INDEX(result_20260611!$A:$Z,0,MATCH(sum_orient_20260611!C$1,result_20260611!$1:$1,0)))</f>
        <v>0</v>
      </c>
      <c r="D4">
        <f>SUMIF(result_20260611!$A:$A,sum_orient_20260611!$A4,INDEX(result_20260611!$A:$Z,0,MATCH(sum_orient_20260611!D$1,result_20260611!$1:$1,0)))</f>
        <v>0</v>
      </c>
      <c r="E4">
        <f>SUMIF(result_20260611!$A:$A,sum_orient_20260611!$A4,INDEX(result_20260611!$A:$Z,0,MATCH(sum_orient_20260611!E$1,result_20260611!$1:$1,0)))</f>
        <v>18</v>
      </c>
      <c r="F4">
        <f>SUMIF(result_20260611!$A:$A,sum_orient_20260611!$A4,INDEX(result_20260611!$A:$Z,0,MATCH(sum_orient_20260611!F$1,result_20260611!$1:$1,0)))</f>
        <v>0</v>
      </c>
      <c r="G4">
        <f>SUMIF(result_20260611!$A:$A,sum_orient_20260611!$A4,INDEX(result_20260611!$A:$Z,0,MATCH(sum_orient_20260611!G$1,result_20260611!$1:$1,0)))</f>
        <v>3</v>
      </c>
      <c r="H4">
        <f>SUMIF(result_20260611!$A:$A,sum_orient_20260611!$A4,INDEX(result_20260611!$A:$Z,0,MATCH(sum_orient_20260611!H$1,result_20260611!$1:$1,0)))</f>
        <v>0</v>
      </c>
      <c r="I4">
        <f>SUMIF(result_20260611!$A:$A,sum_orient_20260611!$A4,INDEX(result_20260611!$A:$Z,0,MATCH(sum_orient_20260611!I$1,result_20260611!$1:$1,0)))</f>
        <v>0</v>
      </c>
      <c r="J4">
        <f>SUMIF(result_20260611!$A:$A,sum_orient_20260611!$A4,INDEX(result_20260611!$A:$Z,0,MATCH(sum_orient_20260611!J$1,result_20260611!$1:$1,0)))</f>
        <v>0</v>
      </c>
      <c r="K4">
        <f>SUMIF(result_20260611!$A:$A,sum_orient_20260611!$A4,INDEX(result_20260611!$A:$Z,0,MATCH(sum_orient_20260611!K$1,result_20260611!$1:$1,0)))</f>
        <v>0</v>
      </c>
      <c r="L4">
        <f>SUMIF(result_20260611!$A:$A,sum_orient_20260611!$A4,INDEX(result_20260611!$A:$Z,0,MATCH(sum_orient_20260611!L$1,result_20260611!$1:$1,0)))</f>
        <v>11</v>
      </c>
      <c r="M4">
        <f>SUMIF(result_20260611!$A:$A,sum_orient_20260611!$A4,INDEX(result_20260611!$A:$Z,0,MATCH(sum_orient_20260611!M$1,result_20260611!$1:$1,0)))</f>
        <v>4</v>
      </c>
      <c r="N4">
        <f>SUMIF(result_20260611!$A:$A,sum_orient_20260611!$A4,INDEX(result_20260611!$A:$Z,0,MATCH(sum_orient_20260611!N$1,result_20260611!$1:$1,0)))</f>
        <v>0</v>
      </c>
      <c r="O4">
        <f t="shared" si="0"/>
        <v>18</v>
      </c>
      <c r="P4" s="8">
        <f t="shared" si="1"/>
        <v>0</v>
      </c>
    </row>
    <row r="5" spans="1:16">
      <c r="A5">
        <v>4</v>
      </c>
      <c r="B5">
        <f>SUMIF(result_20260611!$A:$A,sum_orient_20260611!$A5,INDEX(result_20260611!$A:$Z,0,MATCH(sum_orient_20260611!B$1,result_20260611!$1:$1,0)))</f>
        <v>10</v>
      </c>
      <c r="C5">
        <f>SUMIF(result_20260611!$A:$A,sum_orient_20260611!$A5,INDEX(result_20260611!$A:$Z,0,MATCH(sum_orient_20260611!C$1,result_20260611!$1:$1,0)))</f>
        <v>5</v>
      </c>
      <c r="D5">
        <f>SUMIF(result_20260611!$A:$A,sum_orient_20260611!$A5,INDEX(result_20260611!$A:$Z,0,MATCH(sum_orient_20260611!D$1,result_20260611!$1:$1,0)))</f>
        <v>0</v>
      </c>
      <c r="E5">
        <f>SUMIF(result_20260611!$A:$A,sum_orient_20260611!$A5,INDEX(result_20260611!$A:$Z,0,MATCH(sum_orient_20260611!E$1,result_20260611!$1:$1,0)))</f>
        <v>3</v>
      </c>
      <c r="F5">
        <f>SUMIF(result_20260611!$A:$A,sum_orient_20260611!$A5,INDEX(result_20260611!$A:$Z,0,MATCH(sum_orient_20260611!F$1,result_20260611!$1:$1,0)))</f>
        <v>0</v>
      </c>
      <c r="G5">
        <f>SUMIF(result_20260611!$A:$A,sum_orient_20260611!$A5,INDEX(result_20260611!$A:$Z,0,MATCH(sum_orient_20260611!G$1,result_20260611!$1:$1,0)))</f>
        <v>2</v>
      </c>
      <c r="H5">
        <f>SUMIF(result_20260611!$A:$A,sum_orient_20260611!$A5,INDEX(result_20260611!$A:$Z,0,MATCH(sum_orient_20260611!H$1,result_20260611!$1:$1,0)))</f>
        <v>4</v>
      </c>
      <c r="I5">
        <f>SUMIF(result_20260611!$A:$A,sum_orient_20260611!$A5,INDEX(result_20260611!$A:$Z,0,MATCH(sum_orient_20260611!I$1,result_20260611!$1:$1,0)))</f>
        <v>0</v>
      </c>
      <c r="J5">
        <f>SUMIF(result_20260611!$A:$A,sum_orient_20260611!$A5,INDEX(result_20260611!$A:$Z,0,MATCH(sum_orient_20260611!J$1,result_20260611!$1:$1,0)))</f>
        <v>0</v>
      </c>
      <c r="K5">
        <f>SUMIF(result_20260611!$A:$A,sum_orient_20260611!$A5,INDEX(result_20260611!$A:$Z,0,MATCH(sum_orient_20260611!K$1,result_20260611!$1:$1,0)))</f>
        <v>0</v>
      </c>
      <c r="L5">
        <f>SUMIF(result_20260611!$A:$A,sum_orient_20260611!$A5,INDEX(result_20260611!$A:$Z,0,MATCH(sum_orient_20260611!L$1,result_20260611!$1:$1,0)))</f>
        <v>0</v>
      </c>
      <c r="M5">
        <f>SUMIF(result_20260611!$A:$A,sum_orient_20260611!$A5,INDEX(result_20260611!$A:$Z,0,MATCH(sum_orient_20260611!M$1,result_20260611!$1:$1,0)))</f>
        <v>1</v>
      </c>
      <c r="N5">
        <f>SUMIF(result_20260611!$A:$A,sum_orient_20260611!$A5,INDEX(result_20260611!$A:$Z,0,MATCH(sum_orient_20260611!N$1,result_20260611!$1:$1,0)))</f>
        <v>1</v>
      </c>
      <c r="O5">
        <f t="shared" si="0"/>
        <v>18</v>
      </c>
      <c r="P5" s="8">
        <f t="shared" si="1"/>
        <v>0.83333333333333337</v>
      </c>
    </row>
    <row r="6" spans="1:16">
      <c r="A6">
        <v>5</v>
      </c>
      <c r="B6">
        <f>SUMIF(result_20260611!$A:$A,sum_orient_20260611!$A6,INDEX(result_20260611!$A:$Z,0,MATCH(sum_orient_20260611!B$1,result_20260611!$1:$1,0)))</f>
        <v>13</v>
      </c>
      <c r="C6">
        <f>SUMIF(result_20260611!$A:$A,sum_orient_20260611!$A6,INDEX(result_20260611!$A:$Z,0,MATCH(sum_orient_20260611!C$1,result_20260611!$1:$1,0)))</f>
        <v>4</v>
      </c>
      <c r="D6">
        <f>SUMIF(result_20260611!$A:$A,sum_orient_20260611!$A6,INDEX(result_20260611!$A:$Z,0,MATCH(sum_orient_20260611!D$1,result_20260611!$1:$1,0)))</f>
        <v>0</v>
      </c>
      <c r="E6">
        <f>SUMIF(result_20260611!$A:$A,sum_orient_20260611!$A6,INDEX(result_20260611!$A:$Z,0,MATCH(sum_orient_20260611!E$1,result_20260611!$1:$1,0)))</f>
        <v>1</v>
      </c>
      <c r="F6">
        <f>SUMIF(result_20260611!$A:$A,sum_orient_20260611!$A6,INDEX(result_20260611!$A:$Z,0,MATCH(sum_orient_20260611!F$1,result_20260611!$1:$1,0)))</f>
        <v>0</v>
      </c>
      <c r="G6">
        <f>SUMIF(result_20260611!$A:$A,sum_orient_20260611!$A6,INDEX(result_20260611!$A:$Z,0,MATCH(sum_orient_20260611!G$1,result_20260611!$1:$1,0)))</f>
        <v>1</v>
      </c>
      <c r="H6">
        <f>SUMIF(result_20260611!$A:$A,sum_orient_20260611!$A6,INDEX(result_20260611!$A:$Z,0,MATCH(sum_orient_20260611!H$1,result_20260611!$1:$1,0)))</f>
        <v>0</v>
      </c>
      <c r="I6">
        <f>SUMIF(result_20260611!$A:$A,sum_orient_20260611!$A6,INDEX(result_20260611!$A:$Z,0,MATCH(sum_orient_20260611!I$1,result_20260611!$1:$1,0)))</f>
        <v>0</v>
      </c>
      <c r="J6">
        <f>SUMIF(result_20260611!$A:$A,sum_orient_20260611!$A6,INDEX(result_20260611!$A:$Z,0,MATCH(sum_orient_20260611!J$1,result_20260611!$1:$1,0)))</f>
        <v>0</v>
      </c>
      <c r="K6">
        <f>SUMIF(result_20260611!$A:$A,sum_orient_20260611!$A6,INDEX(result_20260611!$A:$Z,0,MATCH(sum_orient_20260611!K$1,result_20260611!$1:$1,0)))</f>
        <v>0</v>
      </c>
      <c r="L6">
        <f>SUMIF(result_20260611!$A:$A,sum_orient_20260611!$A6,INDEX(result_20260611!$A:$Z,0,MATCH(sum_orient_20260611!L$1,result_20260611!$1:$1,0)))</f>
        <v>0</v>
      </c>
      <c r="M6">
        <f>SUMIF(result_20260611!$A:$A,sum_orient_20260611!$A6,INDEX(result_20260611!$A:$Z,0,MATCH(sum_orient_20260611!M$1,result_20260611!$1:$1,0)))</f>
        <v>0</v>
      </c>
      <c r="N6">
        <f>SUMIF(result_20260611!$A:$A,sum_orient_20260611!$A6,INDEX(result_20260611!$A:$Z,0,MATCH(sum_orient_20260611!N$1,result_20260611!$1:$1,0)))</f>
        <v>4</v>
      </c>
      <c r="O6">
        <f t="shared" si="0"/>
        <v>18</v>
      </c>
      <c r="P6" s="8">
        <f t="shared" si="1"/>
        <v>0.94444444444444442</v>
      </c>
    </row>
    <row r="7" spans="1:16">
      <c r="A7">
        <v>6</v>
      </c>
      <c r="B7">
        <f>SUMIF(result_20260611!$A:$A,sum_orient_20260611!$A7,INDEX(result_20260611!$A:$Z,0,MATCH(sum_orient_20260611!B$1,result_20260611!$1:$1,0)))</f>
        <v>12</v>
      </c>
      <c r="C7">
        <f>SUMIF(result_20260611!$A:$A,sum_orient_20260611!$A7,INDEX(result_20260611!$A:$Z,0,MATCH(sum_orient_20260611!C$1,result_20260611!$1:$1,0)))</f>
        <v>6</v>
      </c>
      <c r="D7">
        <f>SUMIF(result_20260611!$A:$A,sum_orient_20260611!$A7,INDEX(result_20260611!$A:$Z,0,MATCH(sum_orient_20260611!D$1,result_20260611!$1:$1,0)))</f>
        <v>0</v>
      </c>
      <c r="E7">
        <f>SUMIF(result_20260611!$A:$A,sum_orient_20260611!$A7,INDEX(result_20260611!$A:$Z,0,MATCH(sum_orient_20260611!E$1,result_20260611!$1:$1,0)))</f>
        <v>0</v>
      </c>
      <c r="F7">
        <f>SUMIF(result_20260611!$A:$A,sum_orient_20260611!$A7,INDEX(result_20260611!$A:$Z,0,MATCH(sum_orient_20260611!F$1,result_20260611!$1:$1,0)))</f>
        <v>0</v>
      </c>
      <c r="G7">
        <f>SUMIF(result_20260611!$A:$A,sum_orient_20260611!$A7,INDEX(result_20260611!$A:$Z,0,MATCH(sum_orient_20260611!G$1,result_20260611!$1:$1,0)))</f>
        <v>0</v>
      </c>
      <c r="H7">
        <f>SUMIF(result_20260611!$A:$A,sum_orient_20260611!$A7,INDEX(result_20260611!$A:$Z,0,MATCH(sum_orient_20260611!H$1,result_20260611!$1:$1,0)))</f>
        <v>1</v>
      </c>
      <c r="I7">
        <f>SUMIF(result_20260611!$A:$A,sum_orient_20260611!$A7,INDEX(result_20260611!$A:$Z,0,MATCH(sum_orient_20260611!I$1,result_20260611!$1:$1,0)))</f>
        <v>0</v>
      </c>
      <c r="J7">
        <f>SUMIF(result_20260611!$A:$A,sum_orient_20260611!$A7,INDEX(result_20260611!$A:$Z,0,MATCH(sum_orient_20260611!J$1,result_20260611!$1:$1,0)))</f>
        <v>5</v>
      </c>
      <c r="K7">
        <f>SUMIF(result_20260611!$A:$A,sum_orient_20260611!$A7,INDEX(result_20260611!$A:$Z,0,MATCH(sum_orient_20260611!K$1,result_20260611!$1:$1,0)))</f>
        <v>0</v>
      </c>
      <c r="L7">
        <f>SUMIF(result_20260611!$A:$A,sum_orient_20260611!$A7,INDEX(result_20260611!$A:$Z,0,MATCH(sum_orient_20260611!L$1,result_20260611!$1:$1,0)))</f>
        <v>0</v>
      </c>
      <c r="M7">
        <f>SUMIF(result_20260611!$A:$A,sum_orient_20260611!$A7,INDEX(result_20260611!$A:$Z,0,MATCH(sum_orient_20260611!M$1,result_20260611!$1:$1,0)))</f>
        <v>0</v>
      </c>
      <c r="N7">
        <f>SUMIF(result_20260611!$A:$A,sum_orient_20260611!$A7,INDEX(result_20260611!$A:$Z,0,MATCH(sum_orient_20260611!N$1,result_20260611!$1:$1,0)))</f>
        <v>0</v>
      </c>
      <c r="O7">
        <f t="shared" si="0"/>
        <v>18</v>
      </c>
      <c r="P7" s="8">
        <f t="shared" si="1"/>
        <v>1</v>
      </c>
    </row>
    <row r="8" spans="1:16">
      <c r="A8">
        <v>7</v>
      </c>
      <c r="B8">
        <f>SUMIF(result_20260611!$A:$A,sum_orient_20260611!$A8,INDEX(result_20260611!$A:$Z,0,MATCH(sum_orient_20260611!B$1,result_20260611!$1:$1,0)))</f>
        <v>6</v>
      </c>
      <c r="C8">
        <f>SUMIF(result_20260611!$A:$A,sum_orient_20260611!$A8,INDEX(result_20260611!$A:$Z,0,MATCH(sum_orient_20260611!C$1,result_20260611!$1:$1,0)))</f>
        <v>3</v>
      </c>
      <c r="D8">
        <f>SUMIF(result_20260611!$A:$A,sum_orient_20260611!$A8,INDEX(result_20260611!$A:$Z,0,MATCH(sum_orient_20260611!D$1,result_20260611!$1:$1,0)))</f>
        <v>0</v>
      </c>
      <c r="E8">
        <f>SUMIF(result_20260611!$A:$A,sum_orient_20260611!$A8,INDEX(result_20260611!$A:$Z,0,MATCH(sum_orient_20260611!E$1,result_20260611!$1:$1,0)))</f>
        <v>9</v>
      </c>
      <c r="F8">
        <f>SUMIF(result_20260611!$A:$A,sum_orient_20260611!$A8,INDEX(result_20260611!$A:$Z,0,MATCH(sum_orient_20260611!F$1,result_20260611!$1:$1,0)))</f>
        <v>0</v>
      </c>
      <c r="G8">
        <f>SUMIF(result_20260611!$A:$A,sum_orient_20260611!$A8,INDEX(result_20260611!$A:$Z,0,MATCH(sum_orient_20260611!G$1,result_20260611!$1:$1,0)))</f>
        <v>0</v>
      </c>
      <c r="H8">
        <f>SUMIF(result_20260611!$A:$A,sum_orient_20260611!$A8,INDEX(result_20260611!$A:$Z,0,MATCH(sum_orient_20260611!H$1,result_20260611!$1:$1,0)))</f>
        <v>0</v>
      </c>
      <c r="I8">
        <f>SUMIF(result_20260611!$A:$A,sum_orient_20260611!$A8,INDEX(result_20260611!$A:$Z,0,MATCH(sum_orient_20260611!I$1,result_20260611!$1:$1,0)))</f>
        <v>0</v>
      </c>
      <c r="J8">
        <f>SUMIF(result_20260611!$A:$A,sum_orient_20260611!$A8,INDEX(result_20260611!$A:$Z,0,MATCH(sum_orient_20260611!J$1,result_20260611!$1:$1,0)))</f>
        <v>3</v>
      </c>
      <c r="K8">
        <f>SUMIF(result_20260611!$A:$A,sum_orient_20260611!$A8,INDEX(result_20260611!$A:$Z,0,MATCH(sum_orient_20260611!K$1,result_20260611!$1:$1,0)))</f>
        <v>0</v>
      </c>
      <c r="L8">
        <f>SUMIF(result_20260611!$A:$A,sum_orient_20260611!$A8,INDEX(result_20260611!$A:$Z,0,MATCH(sum_orient_20260611!L$1,result_20260611!$1:$1,0)))</f>
        <v>0</v>
      </c>
      <c r="M8">
        <f>SUMIF(result_20260611!$A:$A,sum_orient_20260611!$A8,INDEX(result_20260611!$A:$Z,0,MATCH(sum_orient_20260611!M$1,result_20260611!$1:$1,0)))</f>
        <v>9</v>
      </c>
      <c r="N8">
        <f>SUMIF(result_20260611!$A:$A,sum_orient_20260611!$A8,INDEX(result_20260611!$A:$Z,0,MATCH(sum_orient_20260611!N$1,result_20260611!$1:$1,0)))</f>
        <v>0</v>
      </c>
      <c r="O8">
        <f t="shared" si="0"/>
        <v>18</v>
      </c>
      <c r="P8" s="8">
        <f t="shared" si="1"/>
        <v>0.5</v>
      </c>
    </row>
    <row r="9" spans="1:16">
      <c r="A9">
        <v>8</v>
      </c>
      <c r="B9">
        <f>SUMIF(result_20260611!$A:$A,sum_orient_20260611!$A9,INDEX(result_20260611!$A:$Z,0,MATCH(sum_orient_20260611!B$1,result_20260611!$1:$1,0)))</f>
        <v>2</v>
      </c>
      <c r="C9">
        <f>SUMIF(result_20260611!$A:$A,sum_orient_20260611!$A9,INDEX(result_20260611!$A:$Z,0,MATCH(sum_orient_20260611!C$1,result_20260611!$1:$1,0)))</f>
        <v>15</v>
      </c>
      <c r="D9">
        <f>SUMIF(result_20260611!$A:$A,sum_orient_20260611!$A9,INDEX(result_20260611!$A:$Z,0,MATCH(sum_orient_20260611!D$1,result_20260611!$1:$1,0)))</f>
        <v>0</v>
      </c>
      <c r="E9">
        <f>SUMIF(result_20260611!$A:$A,sum_orient_20260611!$A9,INDEX(result_20260611!$A:$Z,0,MATCH(sum_orient_20260611!E$1,result_20260611!$1:$1,0)))</f>
        <v>1</v>
      </c>
      <c r="F9">
        <f>SUMIF(result_20260611!$A:$A,sum_orient_20260611!$A9,INDEX(result_20260611!$A:$Z,0,MATCH(sum_orient_20260611!F$1,result_20260611!$1:$1,0)))</f>
        <v>0</v>
      </c>
      <c r="G9">
        <f>SUMIF(result_20260611!$A:$A,sum_orient_20260611!$A9,INDEX(result_20260611!$A:$Z,0,MATCH(sum_orient_20260611!G$1,result_20260611!$1:$1,0)))</f>
        <v>1</v>
      </c>
      <c r="H9">
        <f>SUMIF(result_20260611!$A:$A,sum_orient_20260611!$A9,INDEX(result_20260611!$A:$Z,0,MATCH(sum_orient_20260611!H$1,result_20260611!$1:$1,0)))</f>
        <v>10</v>
      </c>
      <c r="I9">
        <f>SUMIF(result_20260611!$A:$A,sum_orient_20260611!$A9,INDEX(result_20260611!$A:$Z,0,MATCH(sum_orient_20260611!I$1,result_20260611!$1:$1,0)))</f>
        <v>0</v>
      </c>
      <c r="J9">
        <f>SUMIF(result_20260611!$A:$A,sum_orient_20260611!$A9,INDEX(result_20260611!$A:$Z,0,MATCH(sum_orient_20260611!J$1,result_20260611!$1:$1,0)))</f>
        <v>0</v>
      </c>
      <c r="K9">
        <f>SUMIF(result_20260611!$A:$A,sum_orient_20260611!$A9,INDEX(result_20260611!$A:$Z,0,MATCH(sum_orient_20260611!K$1,result_20260611!$1:$1,0)))</f>
        <v>0</v>
      </c>
      <c r="L9">
        <f>SUMIF(result_20260611!$A:$A,sum_orient_20260611!$A9,INDEX(result_20260611!$A:$Z,0,MATCH(sum_orient_20260611!L$1,result_20260611!$1:$1,0)))</f>
        <v>0</v>
      </c>
      <c r="M9">
        <f>SUMIF(result_20260611!$A:$A,sum_orient_20260611!$A9,INDEX(result_20260611!$A:$Z,0,MATCH(sum_orient_20260611!M$1,result_20260611!$1:$1,0)))</f>
        <v>0</v>
      </c>
      <c r="N9">
        <f>SUMIF(result_20260611!$A:$A,sum_orient_20260611!$A9,INDEX(result_20260611!$A:$Z,0,MATCH(sum_orient_20260611!N$1,result_20260611!$1:$1,0)))</f>
        <v>5</v>
      </c>
      <c r="O9">
        <f t="shared" si="0"/>
        <v>18</v>
      </c>
      <c r="P9" s="8">
        <f t="shared" si="1"/>
        <v>0.94444444444444442</v>
      </c>
    </row>
    <row r="10" spans="1:16">
      <c r="A10" s="24" t="s">
        <v>35</v>
      </c>
      <c r="B10" s="24">
        <f>SUM(B2:B9)</f>
        <v>58</v>
      </c>
      <c r="C10" s="24">
        <f t="shared" ref="C10:O10" si="2">SUM(C2:C9)</f>
        <v>71</v>
      </c>
      <c r="D10" s="24">
        <f t="shared" si="2"/>
        <v>0</v>
      </c>
      <c r="E10" s="24">
        <f t="shared" si="2"/>
        <v>33</v>
      </c>
      <c r="F10" s="24">
        <f t="shared" si="2"/>
        <v>3</v>
      </c>
      <c r="G10" s="24">
        <f t="shared" si="2"/>
        <v>7</v>
      </c>
      <c r="H10" s="24">
        <f t="shared" si="2"/>
        <v>15</v>
      </c>
      <c r="I10" s="24">
        <f t="shared" si="2"/>
        <v>1</v>
      </c>
      <c r="J10" s="24">
        <f t="shared" si="2"/>
        <v>35</v>
      </c>
      <c r="K10" s="24">
        <f t="shared" si="2"/>
        <v>0</v>
      </c>
      <c r="L10" s="24">
        <f t="shared" si="2"/>
        <v>11</v>
      </c>
      <c r="M10" s="24">
        <f t="shared" si="2"/>
        <v>14</v>
      </c>
      <c r="N10" s="24">
        <f t="shared" si="2"/>
        <v>19</v>
      </c>
      <c r="O10" s="24">
        <f t="shared" si="2"/>
        <v>162</v>
      </c>
      <c r="P10" s="25">
        <f t="shared" si="1"/>
        <v>0.79629629629629628</v>
      </c>
    </row>
    <row r="12" spans="1:16">
      <c r="A12" t="s">
        <v>73</v>
      </c>
    </row>
    <row r="13" spans="1:16">
      <c r="A13" s="24" t="s">
        <v>4</v>
      </c>
      <c r="B13" s="24" t="s">
        <v>0</v>
      </c>
      <c r="C13" s="24" t="s">
        <v>16</v>
      </c>
      <c r="D13" s="24" t="s">
        <v>21</v>
      </c>
      <c r="E13" s="24" t="s">
        <v>17</v>
      </c>
      <c r="F13" s="24" t="s">
        <v>69</v>
      </c>
      <c r="G13" s="24" t="s">
        <v>1</v>
      </c>
      <c r="H13" s="24" t="s">
        <v>68</v>
      </c>
      <c r="I13" s="24" t="s">
        <v>62</v>
      </c>
      <c r="J13" s="24" t="s">
        <v>72</v>
      </c>
      <c r="K13" s="24" t="s">
        <v>18</v>
      </c>
      <c r="L13" s="24" t="s">
        <v>23</v>
      </c>
      <c r="M13" s="24" t="s">
        <v>71</v>
      </c>
      <c r="N13" s="24" t="s">
        <v>70</v>
      </c>
      <c r="O13" s="24" t="s">
        <v>33</v>
      </c>
      <c r="P13" s="25" t="s">
        <v>34</v>
      </c>
    </row>
    <row r="14" spans="1:16">
      <c r="A14">
        <v>1</v>
      </c>
      <c r="B14">
        <f>SUMIF(result_20260611!$A:$A,sum_orient_20260611!$A14,INDEX(result_20260611!$A:$Z,0,MATCH(sum_orient_20260611!B$1,result_20260611!$1:$1,0)))</f>
        <v>15</v>
      </c>
      <c r="C14">
        <f>SUMIF(result_20260611!$A:$A,sum_orient_20260611!$A14,INDEX(result_20260611!$A:$Z,0,MATCH(sum_orient_20260611!C$1,result_20260611!$1:$1,0)))</f>
        <v>11</v>
      </c>
      <c r="D14">
        <f>SUMIF(result_20260611!$A:$A,sum_orient_20260611!$A14,INDEX(result_20260611!$A:$Z,0,MATCH(sum_orient_20260611!D$1,result_20260611!$1:$1,0)))</f>
        <v>0</v>
      </c>
      <c r="E14">
        <f>SUMIF(result_20260611!$A:$A,sum_orient_20260611!$A14,INDEX(result_20260611!$A:$Z,0,MATCH(sum_orient_20260611!E$1,result_20260611!$1:$1,0)))</f>
        <v>1</v>
      </c>
      <c r="F14">
        <f>SUMIF(result_20260611!$A:$A,sum_orient_20260611!$A14,INDEX(result_20260611!$A:$Z,0,MATCH(sum_orient_20260611!F$1,result_20260611!$1:$1,0)))</f>
        <v>3</v>
      </c>
      <c r="G14">
        <f>SUMIF(result_20260611!$A:$A,sum_orient_20260611!$A14,INDEX(result_20260611!$A:$Z,0,MATCH(sum_orient_20260611!G$1,result_20260611!$1:$1,0)))</f>
        <v>0</v>
      </c>
      <c r="H14">
        <f>SUMIF(result_20260611!$A:$A,sum_orient_20260611!$A14,INDEX(result_20260611!$A:$Z,0,MATCH(sum_orient_20260611!H$1,result_20260611!$1:$1,0)))</f>
        <v>0</v>
      </c>
      <c r="I14">
        <f>SUMIF(result_20260611!$A:$A,sum_orient_20260611!$A14,INDEX(result_20260611!$A:$Z,0,MATCH(sum_orient_20260611!I$1,result_20260611!$1:$1,0)))</f>
        <v>1</v>
      </c>
      <c r="J14">
        <f>SUMIF(result_20260611!$A:$A,sum_orient_20260611!$A14,INDEX(result_20260611!$A:$Z,0,MATCH(sum_orient_20260611!J$1,result_20260611!$1:$1,0)))</f>
        <v>0</v>
      </c>
      <c r="K14">
        <f>SUMIF(result_20260611!$A:$A,sum_orient_20260611!$A14,INDEX(result_20260611!$A:$Z,0,MATCH(sum_orient_20260611!K$1,result_20260611!$1:$1,0)))</f>
        <v>0</v>
      </c>
      <c r="L14">
        <f>SUMIF(result_20260611!$A:$A,sum_orient_20260611!$A14,INDEX(result_20260611!$A:$Z,0,MATCH(sum_orient_20260611!L$1,result_20260611!$1:$1,0)))</f>
        <v>0</v>
      </c>
      <c r="M14">
        <f>SUMIF(result_20260611!$A:$A,sum_orient_20260611!$A14,INDEX(result_20260611!$A:$Z,0,MATCH(sum_orient_20260611!M$1,result_20260611!$1:$1,0)))</f>
        <v>0</v>
      </c>
      <c r="N14">
        <f>SUMIF(result_20260611!$A:$A,sum_orient_20260611!$A14,INDEX(result_20260611!$A:$Z,0,MATCH(sum_orient_20260611!N$1,result_20260611!$1:$1,0)))</f>
        <v>9</v>
      </c>
      <c r="O14">
        <f>SUM(B14:E14)</f>
        <v>27</v>
      </c>
      <c r="P14" s="8">
        <f>SUM(B14+C14)/O14</f>
        <v>0.96296296296296291</v>
      </c>
    </row>
    <row r="15" spans="1:16">
      <c r="A15">
        <v>2</v>
      </c>
      <c r="B15">
        <f>SUMIF(result_20260611!$A:$A,sum_orient_20260611!$A15,INDEX(result_20260611!$A:$Z,0,MATCH(sum_orient_20260611!B$1,result_20260611!$1:$1,0)))</f>
        <v>0</v>
      </c>
      <c r="C15">
        <f>SUMIF(result_20260611!$A:$A,sum_orient_20260611!$A15,INDEX(result_20260611!$A:$Z,0,MATCH(sum_orient_20260611!C$1,result_20260611!$1:$1,0)))</f>
        <v>27</v>
      </c>
      <c r="D15">
        <f>SUMIF(result_20260611!$A:$A,sum_orient_20260611!$A15,INDEX(result_20260611!$A:$Z,0,MATCH(sum_orient_20260611!D$1,result_20260611!$1:$1,0)))</f>
        <v>0</v>
      </c>
      <c r="E15">
        <f>SUMIF(result_20260611!$A:$A,sum_orient_20260611!$A15,INDEX(result_20260611!$A:$Z,0,MATCH(sum_orient_20260611!E$1,result_20260611!$1:$1,0)))</f>
        <v>0</v>
      </c>
      <c r="F15">
        <f>SUMIF(result_20260611!$A:$A,sum_orient_20260611!$A15,INDEX(result_20260611!$A:$Z,0,MATCH(sum_orient_20260611!F$1,result_20260611!$1:$1,0)))</f>
        <v>0</v>
      </c>
      <c r="G15">
        <f>SUMIF(result_20260611!$A:$A,sum_orient_20260611!$A15,INDEX(result_20260611!$A:$Z,0,MATCH(sum_orient_20260611!G$1,result_20260611!$1:$1,0)))</f>
        <v>0</v>
      </c>
      <c r="H15">
        <f>SUMIF(result_20260611!$A:$A,sum_orient_20260611!$A15,INDEX(result_20260611!$A:$Z,0,MATCH(sum_orient_20260611!H$1,result_20260611!$1:$1,0)))</f>
        <v>0</v>
      </c>
      <c r="I15">
        <f>SUMIF(result_20260611!$A:$A,sum_orient_20260611!$A15,INDEX(result_20260611!$A:$Z,0,MATCH(sum_orient_20260611!I$1,result_20260611!$1:$1,0)))</f>
        <v>0</v>
      </c>
      <c r="J15">
        <f>SUMIF(result_20260611!$A:$A,sum_orient_20260611!$A15,INDEX(result_20260611!$A:$Z,0,MATCH(sum_orient_20260611!J$1,result_20260611!$1:$1,0)))</f>
        <v>27</v>
      </c>
      <c r="K15">
        <f>SUMIF(result_20260611!$A:$A,sum_orient_20260611!$A15,INDEX(result_20260611!$A:$Z,0,MATCH(sum_orient_20260611!K$1,result_20260611!$1:$1,0)))</f>
        <v>0</v>
      </c>
      <c r="L15">
        <f>SUMIF(result_20260611!$A:$A,sum_orient_20260611!$A15,INDEX(result_20260611!$A:$Z,0,MATCH(sum_orient_20260611!L$1,result_20260611!$1:$1,0)))</f>
        <v>0</v>
      </c>
      <c r="M15">
        <f>SUMIF(result_20260611!$A:$A,sum_orient_20260611!$A15,INDEX(result_20260611!$A:$Z,0,MATCH(sum_orient_20260611!M$1,result_20260611!$1:$1,0)))</f>
        <v>0</v>
      </c>
      <c r="N15">
        <f>SUMIF(result_20260611!$A:$A,sum_orient_20260611!$A15,INDEX(result_20260611!$A:$Z,0,MATCH(sum_orient_20260611!N$1,result_20260611!$1:$1,0)))</f>
        <v>0</v>
      </c>
      <c r="O15">
        <f t="shared" ref="O15:O18" si="3">SUM(B15:E15)</f>
        <v>27</v>
      </c>
      <c r="P15" s="8">
        <f t="shared" ref="P15:P19" si="4">SUM(B15+C15)/O15</f>
        <v>1</v>
      </c>
    </row>
    <row r="16" spans="1:16">
      <c r="A16">
        <v>4</v>
      </c>
      <c r="B16">
        <f>SUMIF(result_20260611!$A:$A,sum_orient_20260611!$A16,INDEX(result_20260611!$A:$Z,0,MATCH(sum_orient_20260611!B$1,result_20260611!$1:$1,0)))</f>
        <v>10</v>
      </c>
      <c r="C16">
        <f>SUMIF(result_20260611!$A:$A,sum_orient_20260611!$A16,INDEX(result_20260611!$A:$Z,0,MATCH(sum_orient_20260611!C$1,result_20260611!$1:$1,0)))</f>
        <v>5</v>
      </c>
      <c r="D16">
        <f>SUMIF(result_20260611!$A:$A,sum_orient_20260611!$A16,INDEX(result_20260611!$A:$Z,0,MATCH(sum_orient_20260611!D$1,result_20260611!$1:$1,0)))</f>
        <v>0</v>
      </c>
      <c r="E16">
        <f>SUMIF(result_20260611!$A:$A,sum_orient_20260611!$A16,INDEX(result_20260611!$A:$Z,0,MATCH(sum_orient_20260611!E$1,result_20260611!$1:$1,0)))</f>
        <v>3</v>
      </c>
      <c r="F16">
        <f>SUMIF(result_20260611!$A:$A,sum_orient_20260611!$A16,INDEX(result_20260611!$A:$Z,0,MATCH(sum_orient_20260611!F$1,result_20260611!$1:$1,0)))</f>
        <v>0</v>
      </c>
      <c r="G16">
        <f>SUMIF(result_20260611!$A:$A,sum_orient_20260611!$A16,INDEX(result_20260611!$A:$Z,0,MATCH(sum_orient_20260611!G$1,result_20260611!$1:$1,0)))</f>
        <v>2</v>
      </c>
      <c r="H16">
        <f>SUMIF(result_20260611!$A:$A,sum_orient_20260611!$A16,INDEX(result_20260611!$A:$Z,0,MATCH(sum_orient_20260611!H$1,result_20260611!$1:$1,0)))</f>
        <v>4</v>
      </c>
      <c r="I16">
        <f>SUMIF(result_20260611!$A:$A,sum_orient_20260611!$A16,INDEX(result_20260611!$A:$Z,0,MATCH(sum_orient_20260611!I$1,result_20260611!$1:$1,0)))</f>
        <v>0</v>
      </c>
      <c r="J16">
        <f>SUMIF(result_20260611!$A:$A,sum_orient_20260611!$A16,INDEX(result_20260611!$A:$Z,0,MATCH(sum_orient_20260611!J$1,result_20260611!$1:$1,0)))</f>
        <v>0</v>
      </c>
      <c r="K16">
        <f>SUMIF(result_20260611!$A:$A,sum_orient_20260611!$A16,INDEX(result_20260611!$A:$Z,0,MATCH(sum_orient_20260611!K$1,result_20260611!$1:$1,0)))</f>
        <v>0</v>
      </c>
      <c r="L16">
        <f>SUMIF(result_20260611!$A:$A,sum_orient_20260611!$A16,INDEX(result_20260611!$A:$Z,0,MATCH(sum_orient_20260611!L$1,result_20260611!$1:$1,0)))</f>
        <v>0</v>
      </c>
      <c r="M16">
        <f>SUMIF(result_20260611!$A:$A,sum_orient_20260611!$A16,INDEX(result_20260611!$A:$Z,0,MATCH(sum_orient_20260611!M$1,result_20260611!$1:$1,0)))</f>
        <v>1</v>
      </c>
      <c r="N16">
        <f>SUMIF(result_20260611!$A:$A,sum_orient_20260611!$A16,INDEX(result_20260611!$A:$Z,0,MATCH(sum_orient_20260611!N$1,result_20260611!$1:$1,0)))</f>
        <v>1</v>
      </c>
      <c r="O16">
        <f t="shared" si="3"/>
        <v>18</v>
      </c>
      <c r="P16" s="8">
        <f t="shared" si="4"/>
        <v>0.83333333333333337</v>
      </c>
    </row>
    <row r="17" spans="1:16">
      <c r="A17">
        <v>6</v>
      </c>
      <c r="B17">
        <f>SUMIF(result_20260611!$A:$A,sum_orient_20260611!$A17,INDEX(result_20260611!$A:$Z,0,MATCH(sum_orient_20260611!B$1,result_20260611!$1:$1,0)))</f>
        <v>12</v>
      </c>
      <c r="C17">
        <f>SUMIF(result_20260611!$A:$A,sum_orient_20260611!$A17,INDEX(result_20260611!$A:$Z,0,MATCH(sum_orient_20260611!C$1,result_20260611!$1:$1,0)))</f>
        <v>6</v>
      </c>
      <c r="D17">
        <f>SUMIF(result_20260611!$A:$A,sum_orient_20260611!$A17,INDEX(result_20260611!$A:$Z,0,MATCH(sum_orient_20260611!D$1,result_20260611!$1:$1,0)))</f>
        <v>0</v>
      </c>
      <c r="E17">
        <f>SUMIF(result_20260611!$A:$A,sum_orient_20260611!$A17,INDEX(result_20260611!$A:$Z,0,MATCH(sum_orient_20260611!E$1,result_20260611!$1:$1,0)))</f>
        <v>0</v>
      </c>
      <c r="F17">
        <f>SUMIF(result_20260611!$A:$A,sum_orient_20260611!$A17,INDEX(result_20260611!$A:$Z,0,MATCH(sum_orient_20260611!F$1,result_20260611!$1:$1,0)))</f>
        <v>0</v>
      </c>
      <c r="G17">
        <f>SUMIF(result_20260611!$A:$A,sum_orient_20260611!$A17,INDEX(result_20260611!$A:$Z,0,MATCH(sum_orient_20260611!G$1,result_20260611!$1:$1,0)))</f>
        <v>0</v>
      </c>
      <c r="H17">
        <f>SUMIF(result_20260611!$A:$A,sum_orient_20260611!$A17,INDEX(result_20260611!$A:$Z,0,MATCH(sum_orient_20260611!H$1,result_20260611!$1:$1,0)))</f>
        <v>1</v>
      </c>
      <c r="I17">
        <f>SUMIF(result_20260611!$A:$A,sum_orient_20260611!$A17,INDEX(result_20260611!$A:$Z,0,MATCH(sum_orient_20260611!I$1,result_20260611!$1:$1,0)))</f>
        <v>0</v>
      </c>
      <c r="J17">
        <f>SUMIF(result_20260611!$A:$A,sum_orient_20260611!$A17,INDEX(result_20260611!$A:$Z,0,MATCH(sum_orient_20260611!J$1,result_20260611!$1:$1,0)))</f>
        <v>5</v>
      </c>
      <c r="K17">
        <f>SUMIF(result_20260611!$A:$A,sum_orient_20260611!$A17,INDEX(result_20260611!$A:$Z,0,MATCH(sum_orient_20260611!K$1,result_20260611!$1:$1,0)))</f>
        <v>0</v>
      </c>
      <c r="L17">
        <f>SUMIF(result_20260611!$A:$A,sum_orient_20260611!$A17,INDEX(result_20260611!$A:$Z,0,MATCH(sum_orient_20260611!L$1,result_20260611!$1:$1,0)))</f>
        <v>0</v>
      </c>
      <c r="M17">
        <f>SUMIF(result_20260611!$A:$A,sum_orient_20260611!$A17,INDEX(result_20260611!$A:$Z,0,MATCH(sum_orient_20260611!M$1,result_20260611!$1:$1,0)))</f>
        <v>0</v>
      </c>
      <c r="N17">
        <f>SUMIF(result_20260611!$A:$A,sum_orient_20260611!$A17,INDEX(result_20260611!$A:$Z,0,MATCH(sum_orient_20260611!N$1,result_20260611!$1:$1,0)))</f>
        <v>0</v>
      </c>
      <c r="O17">
        <f t="shared" si="3"/>
        <v>18</v>
      </c>
      <c r="P17" s="8">
        <f t="shared" si="4"/>
        <v>1</v>
      </c>
    </row>
    <row r="18" spans="1:16">
      <c r="A18">
        <v>8</v>
      </c>
      <c r="B18">
        <f>SUMIF(result_20260611!$A:$A,sum_orient_20260611!$A18,INDEX(result_20260611!$A:$Z,0,MATCH(sum_orient_20260611!B$1,result_20260611!$1:$1,0)))</f>
        <v>2</v>
      </c>
      <c r="C18">
        <f>SUMIF(result_20260611!$A:$A,sum_orient_20260611!$A18,INDEX(result_20260611!$A:$Z,0,MATCH(sum_orient_20260611!C$1,result_20260611!$1:$1,0)))</f>
        <v>15</v>
      </c>
      <c r="D18">
        <f>SUMIF(result_20260611!$A:$A,sum_orient_20260611!$A18,INDEX(result_20260611!$A:$Z,0,MATCH(sum_orient_20260611!D$1,result_20260611!$1:$1,0)))</f>
        <v>0</v>
      </c>
      <c r="E18">
        <f>SUMIF(result_20260611!$A:$A,sum_orient_20260611!$A18,INDEX(result_20260611!$A:$Z,0,MATCH(sum_orient_20260611!E$1,result_20260611!$1:$1,0)))</f>
        <v>1</v>
      </c>
      <c r="F18">
        <f>SUMIF(result_20260611!$A:$A,sum_orient_20260611!$A18,INDEX(result_20260611!$A:$Z,0,MATCH(sum_orient_20260611!F$1,result_20260611!$1:$1,0)))</f>
        <v>0</v>
      </c>
      <c r="G18">
        <f>SUMIF(result_20260611!$A:$A,sum_orient_20260611!$A18,INDEX(result_20260611!$A:$Z,0,MATCH(sum_orient_20260611!G$1,result_20260611!$1:$1,0)))</f>
        <v>1</v>
      </c>
      <c r="H18">
        <f>SUMIF(result_20260611!$A:$A,sum_orient_20260611!$A18,INDEX(result_20260611!$A:$Z,0,MATCH(sum_orient_20260611!H$1,result_20260611!$1:$1,0)))</f>
        <v>10</v>
      </c>
      <c r="I18">
        <f>SUMIF(result_20260611!$A:$A,sum_orient_20260611!$A18,INDEX(result_20260611!$A:$Z,0,MATCH(sum_orient_20260611!I$1,result_20260611!$1:$1,0)))</f>
        <v>0</v>
      </c>
      <c r="J18">
        <f>SUMIF(result_20260611!$A:$A,sum_orient_20260611!$A18,INDEX(result_20260611!$A:$Z,0,MATCH(sum_orient_20260611!J$1,result_20260611!$1:$1,0)))</f>
        <v>0</v>
      </c>
      <c r="K18">
        <f>SUMIF(result_20260611!$A:$A,sum_orient_20260611!$A18,INDEX(result_20260611!$A:$Z,0,MATCH(sum_orient_20260611!K$1,result_20260611!$1:$1,0)))</f>
        <v>0</v>
      </c>
      <c r="L18">
        <f>SUMIF(result_20260611!$A:$A,sum_orient_20260611!$A18,INDEX(result_20260611!$A:$Z,0,MATCH(sum_orient_20260611!L$1,result_20260611!$1:$1,0)))</f>
        <v>0</v>
      </c>
      <c r="M18">
        <f>SUMIF(result_20260611!$A:$A,sum_orient_20260611!$A18,INDEX(result_20260611!$A:$Z,0,MATCH(sum_orient_20260611!M$1,result_20260611!$1:$1,0)))</f>
        <v>0</v>
      </c>
      <c r="N18">
        <f>SUMIF(result_20260611!$A:$A,sum_orient_20260611!$A18,INDEX(result_20260611!$A:$Z,0,MATCH(sum_orient_20260611!N$1,result_20260611!$1:$1,0)))</f>
        <v>5</v>
      </c>
      <c r="O18">
        <f t="shared" si="3"/>
        <v>18</v>
      </c>
      <c r="P18" s="8">
        <f t="shared" si="4"/>
        <v>0.94444444444444442</v>
      </c>
    </row>
    <row r="19" spans="1:16">
      <c r="A19" s="24" t="s">
        <v>35</v>
      </c>
      <c r="B19" s="24">
        <f t="shared" ref="B19:O19" si="5">SUM(B14:B18)</f>
        <v>39</v>
      </c>
      <c r="C19" s="24">
        <f t="shared" si="5"/>
        <v>64</v>
      </c>
      <c r="D19" s="24">
        <f t="shared" si="5"/>
        <v>0</v>
      </c>
      <c r="E19" s="24">
        <f t="shared" si="5"/>
        <v>5</v>
      </c>
      <c r="F19" s="24">
        <f t="shared" si="5"/>
        <v>3</v>
      </c>
      <c r="G19" s="24">
        <f t="shared" si="5"/>
        <v>3</v>
      </c>
      <c r="H19" s="24">
        <f t="shared" si="5"/>
        <v>15</v>
      </c>
      <c r="I19" s="24">
        <f t="shared" si="5"/>
        <v>1</v>
      </c>
      <c r="J19" s="24">
        <f t="shared" si="5"/>
        <v>32</v>
      </c>
      <c r="K19" s="24">
        <f t="shared" si="5"/>
        <v>0</v>
      </c>
      <c r="L19" s="24">
        <f t="shared" si="5"/>
        <v>0</v>
      </c>
      <c r="M19" s="24">
        <f t="shared" si="5"/>
        <v>1</v>
      </c>
      <c r="N19" s="24">
        <f t="shared" si="5"/>
        <v>15</v>
      </c>
      <c r="O19" s="24">
        <f t="shared" si="5"/>
        <v>108</v>
      </c>
      <c r="P19" s="25">
        <f t="shared" si="4"/>
        <v>0.95370370370370372</v>
      </c>
    </row>
  </sheetData>
  <phoneticPr fontId="1" type="noConversion"/>
  <conditionalFormatting sqref="P2">
    <cfRule type="colorScale" priority="6">
      <colorScale>
        <cfvo type="percent" val="0"/>
        <cfvo type="percentile" val="50"/>
        <cfvo type="percent" val="100"/>
        <color rgb="FFF8696B"/>
        <color rgb="FFFFEB84"/>
        <color rgb="FF63BE7B"/>
      </colorScale>
    </cfRule>
  </conditionalFormatting>
  <conditionalFormatting sqref="P2:P10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4">
    <cfRule type="colorScale" priority="2">
      <colorScale>
        <cfvo type="percent" val="0"/>
        <cfvo type="percentile" val="50"/>
        <cfvo type="percent" val="100"/>
        <color rgb="FFF8696B"/>
        <color rgb="FFFFEB84"/>
        <color rgb="FF63BE7B"/>
      </colorScale>
    </cfRule>
  </conditionalFormatting>
  <conditionalFormatting sqref="P14:P1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486FB-0CFA-4051-92D9-62519C2C1B14}">
  <sheetPr>
    <tabColor theme="9" tint="0.79998168889431442"/>
  </sheetPr>
  <dimension ref="A1:P21"/>
  <sheetViews>
    <sheetView workbookViewId="0">
      <selection activeCell="C28" sqref="C28"/>
    </sheetView>
  </sheetViews>
  <sheetFormatPr defaultRowHeight="14.25"/>
  <cols>
    <col min="3" max="3" width="23.5" bestFit="1" customWidth="1"/>
    <col min="4" max="4" width="32.125" bestFit="1" customWidth="1"/>
    <col min="7" max="7" width="17.5" style="8" bestFit="1" customWidth="1"/>
  </cols>
  <sheetData>
    <row r="1" spans="1:16">
      <c r="A1" s="24" t="s">
        <v>3</v>
      </c>
      <c r="B1" s="24" t="s">
        <v>0</v>
      </c>
      <c r="C1" s="24" t="s">
        <v>16</v>
      </c>
      <c r="D1" s="24" t="s">
        <v>21</v>
      </c>
      <c r="E1" s="24" t="s">
        <v>17</v>
      </c>
      <c r="F1" s="24" t="s">
        <v>69</v>
      </c>
      <c r="G1" s="24" t="s">
        <v>1</v>
      </c>
      <c r="H1" s="24" t="s">
        <v>68</v>
      </c>
      <c r="I1" s="24" t="s">
        <v>62</v>
      </c>
      <c r="J1" s="24" t="s">
        <v>72</v>
      </c>
      <c r="K1" s="24" t="s">
        <v>18</v>
      </c>
      <c r="L1" s="24" t="s">
        <v>23</v>
      </c>
      <c r="M1" s="24" t="s">
        <v>71</v>
      </c>
      <c r="N1" s="24" t="s">
        <v>70</v>
      </c>
      <c r="O1" s="24" t="s">
        <v>33</v>
      </c>
      <c r="P1" s="25" t="s">
        <v>34</v>
      </c>
    </row>
    <row r="2" spans="1:16">
      <c r="A2" t="s">
        <v>6</v>
      </c>
      <c r="B2">
        <f>SUMIF(result_20260611!$B:$B,sum_pos_20260611!$A2,INDEX(result_20260611!$A:$Z,0,MATCH(sum_pos_20260611!B$1,result_20260611!$1:$1,0)))</f>
        <v>10</v>
      </c>
      <c r="C2">
        <f>SUMIF(result_20260611!$B:$B,sum_pos_20260611!$A2,INDEX(result_20260611!$A:$Z,0,MATCH(sum_pos_20260611!C$1,result_20260611!$1:$1,0)))</f>
        <v>9</v>
      </c>
      <c r="D2">
        <f>SUMIF(result_20260611!$B:$B,sum_pos_20260611!$A2,INDEX(result_20260611!$A:$Z,0,MATCH(sum_pos_20260611!D$1,result_20260611!$1:$1,0)))</f>
        <v>0</v>
      </c>
      <c r="E2">
        <f>SUMIF(result_20260611!$B:$B,sum_pos_20260611!$A2,INDEX(result_20260611!$A:$Z,0,MATCH(sum_pos_20260611!E$1,result_20260611!$1:$1,0)))</f>
        <v>5</v>
      </c>
      <c r="F2">
        <f>SUMIF(result_20260611!$B:$B,sum_pos_20260611!$A2,INDEX(result_20260611!$A:$Z,0,MATCH(sum_pos_20260611!F$1,result_20260611!$1:$1,0)))</f>
        <v>0</v>
      </c>
      <c r="G2">
        <f>SUMIF(result_20260611!$B:$B,sum_pos_20260611!$A2,INDEX(result_20260611!$A:$Z,0,MATCH(sum_pos_20260611!G$1,result_20260611!$1:$1,0)))</f>
        <v>0</v>
      </c>
      <c r="H2">
        <f>SUMIF(result_20260611!$B:$B,sum_pos_20260611!$A2,INDEX(result_20260611!$A:$Z,0,MATCH(sum_pos_20260611!H$1,result_20260611!$1:$1,0)))</f>
        <v>0</v>
      </c>
      <c r="I2">
        <f>SUMIF(result_20260611!$B:$B,sum_pos_20260611!$A2,INDEX(result_20260611!$A:$Z,0,MATCH(sum_pos_20260611!I$1,result_20260611!$1:$1,0)))</f>
        <v>0</v>
      </c>
      <c r="J2">
        <f>SUMIF(result_20260611!$B:$B,sum_pos_20260611!$A2,INDEX(result_20260611!$A:$Z,0,MATCH(sum_pos_20260611!J$1,result_20260611!$1:$1,0)))</f>
        <v>3</v>
      </c>
      <c r="K2">
        <f>SUMIF(result_20260611!$B:$B,sum_pos_20260611!$A2,INDEX(result_20260611!$A:$Z,0,MATCH(sum_pos_20260611!K$1,result_20260611!$1:$1,0)))</f>
        <v>0</v>
      </c>
      <c r="L2">
        <f>SUMIF(result_20260611!$B:$B,sum_pos_20260611!$A2,INDEX(result_20260611!$A:$Z,0,MATCH(sum_pos_20260611!L$1,result_20260611!$1:$1,0)))</f>
        <v>3</v>
      </c>
      <c r="M2">
        <f>SUMIF(result_20260611!$B:$B,sum_pos_20260611!$A2,INDEX(result_20260611!$A:$Z,0,MATCH(sum_pos_20260611!M$1,result_20260611!$1:$1,0)))</f>
        <v>2</v>
      </c>
      <c r="N2">
        <f>SUMIF(result_20260611!$B:$B,sum_pos_20260611!$A2,INDEX(result_20260611!$A:$Z,0,MATCH(sum_pos_20260611!N$1,result_20260611!$1:$1,0)))</f>
        <v>6</v>
      </c>
      <c r="O2">
        <f t="shared" ref="O2:O10" si="0">SUM(B2:E2)</f>
        <v>24</v>
      </c>
      <c r="P2" s="8">
        <f t="shared" ref="P2:P10" si="1">SUM(B2:C2)/O2</f>
        <v>0.79166666666666663</v>
      </c>
    </row>
    <row r="3" spans="1:16">
      <c r="A3" t="s">
        <v>7</v>
      </c>
      <c r="B3">
        <f>SUMIF(result_20260611!$B:$B,sum_pos_20260611!$A3,INDEX(result_20260611!$A:$Z,0,MATCH(sum_pos_20260611!B$1,result_20260611!$1:$1,0)))</f>
        <v>1</v>
      </c>
      <c r="C3">
        <f>SUMIF(result_20260611!$B:$B,sum_pos_20260611!$A3,INDEX(result_20260611!$A:$Z,0,MATCH(sum_pos_20260611!C$1,result_20260611!$1:$1,0)))</f>
        <v>5</v>
      </c>
      <c r="D3">
        <f>SUMIF(result_20260611!$B:$B,sum_pos_20260611!$A3,INDEX(result_20260611!$A:$Z,0,MATCH(sum_pos_20260611!D$1,result_20260611!$1:$1,0)))</f>
        <v>0</v>
      </c>
      <c r="E3">
        <f>SUMIF(result_20260611!$B:$B,sum_pos_20260611!$A3,INDEX(result_20260611!$A:$Z,0,MATCH(sum_pos_20260611!E$1,result_20260611!$1:$1,0)))</f>
        <v>0</v>
      </c>
      <c r="F3">
        <f>SUMIF(result_20260611!$B:$B,sum_pos_20260611!$A3,INDEX(result_20260611!$A:$Z,0,MATCH(sum_pos_20260611!F$1,result_20260611!$1:$1,0)))</f>
        <v>1</v>
      </c>
      <c r="G3">
        <f>SUMIF(result_20260611!$B:$B,sum_pos_20260611!$A3,INDEX(result_20260611!$A:$Z,0,MATCH(sum_pos_20260611!G$1,result_20260611!$1:$1,0)))</f>
        <v>0</v>
      </c>
      <c r="H3">
        <f>SUMIF(result_20260611!$B:$B,sum_pos_20260611!$A3,INDEX(result_20260611!$A:$Z,0,MATCH(sum_pos_20260611!H$1,result_20260611!$1:$1,0)))</f>
        <v>0</v>
      </c>
      <c r="I3">
        <f>SUMIF(result_20260611!$B:$B,sum_pos_20260611!$A3,INDEX(result_20260611!$A:$Z,0,MATCH(sum_pos_20260611!I$1,result_20260611!$1:$1,0)))</f>
        <v>0</v>
      </c>
      <c r="J3">
        <f>SUMIF(result_20260611!$B:$B,sum_pos_20260611!$A3,INDEX(result_20260611!$A:$Z,0,MATCH(sum_pos_20260611!J$1,result_20260611!$1:$1,0)))</f>
        <v>3</v>
      </c>
      <c r="K3">
        <f>SUMIF(result_20260611!$B:$B,sum_pos_20260611!$A3,INDEX(result_20260611!$A:$Z,0,MATCH(sum_pos_20260611!K$1,result_20260611!$1:$1,0)))</f>
        <v>0</v>
      </c>
      <c r="L3">
        <f>SUMIF(result_20260611!$B:$B,sum_pos_20260611!$A3,INDEX(result_20260611!$A:$Z,0,MATCH(sum_pos_20260611!L$1,result_20260611!$1:$1,0)))</f>
        <v>0</v>
      </c>
      <c r="M3">
        <f>SUMIF(result_20260611!$B:$B,sum_pos_20260611!$A3,INDEX(result_20260611!$A:$Z,0,MATCH(sum_pos_20260611!M$1,result_20260611!$1:$1,0)))</f>
        <v>0</v>
      </c>
      <c r="N3">
        <f>SUMIF(result_20260611!$B:$B,sum_pos_20260611!$A3,INDEX(result_20260611!$A:$Z,0,MATCH(sum_pos_20260611!N$1,result_20260611!$1:$1,0)))</f>
        <v>1</v>
      </c>
      <c r="O3">
        <f t="shared" si="0"/>
        <v>6</v>
      </c>
      <c r="P3" s="8">
        <f t="shared" si="1"/>
        <v>1</v>
      </c>
    </row>
    <row r="4" spans="1:16">
      <c r="A4" t="s">
        <v>8</v>
      </c>
      <c r="B4">
        <f>SUMIF(result_20260611!$B:$B,sum_pos_20260611!$A4,INDEX(result_20260611!$A:$Z,0,MATCH(sum_pos_20260611!B$1,result_20260611!$1:$1,0)))</f>
        <v>14</v>
      </c>
      <c r="C4">
        <f>SUMIF(result_20260611!$B:$B,sum_pos_20260611!$A4,INDEX(result_20260611!$A:$Z,0,MATCH(sum_pos_20260611!C$1,result_20260611!$1:$1,0)))</f>
        <v>7</v>
      </c>
      <c r="D4">
        <f>SUMIF(result_20260611!$B:$B,sum_pos_20260611!$A4,INDEX(result_20260611!$A:$Z,0,MATCH(sum_pos_20260611!D$1,result_20260611!$1:$1,0)))</f>
        <v>0</v>
      </c>
      <c r="E4">
        <f>SUMIF(result_20260611!$B:$B,sum_pos_20260611!$A4,INDEX(result_20260611!$A:$Z,0,MATCH(sum_pos_20260611!E$1,result_20260611!$1:$1,0)))</f>
        <v>3</v>
      </c>
      <c r="F4">
        <f>SUMIF(result_20260611!$B:$B,sum_pos_20260611!$A4,INDEX(result_20260611!$A:$Z,0,MATCH(sum_pos_20260611!F$1,result_20260611!$1:$1,0)))</f>
        <v>0</v>
      </c>
      <c r="G4">
        <f>SUMIF(result_20260611!$B:$B,sum_pos_20260611!$A4,INDEX(result_20260611!$A:$Z,0,MATCH(sum_pos_20260611!G$1,result_20260611!$1:$1,0)))</f>
        <v>3</v>
      </c>
      <c r="H4">
        <f>SUMIF(result_20260611!$B:$B,sum_pos_20260611!$A4,INDEX(result_20260611!$A:$Z,0,MATCH(sum_pos_20260611!H$1,result_20260611!$1:$1,0)))</f>
        <v>2</v>
      </c>
      <c r="I4">
        <f>SUMIF(result_20260611!$B:$B,sum_pos_20260611!$A4,INDEX(result_20260611!$A:$Z,0,MATCH(sum_pos_20260611!I$1,result_20260611!$1:$1,0)))</f>
        <v>0</v>
      </c>
      <c r="J4">
        <f>SUMIF(result_20260611!$B:$B,sum_pos_20260611!$A4,INDEX(result_20260611!$A:$Z,0,MATCH(sum_pos_20260611!J$1,result_20260611!$1:$1,0)))</f>
        <v>3</v>
      </c>
      <c r="K4">
        <f>SUMIF(result_20260611!$B:$B,sum_pos_20260611!$A4,INDEX(result_20260611!$A:$Z,0,MATCH(sum_pos_20260611!K$1,result_20260611!$1:$1,0)))</f>
        <v>0</v>
      </c>
      <c r="L4">
        <f>SUMIF(result_20260611!$B:$B,sum_pos_20260611!$A4,INDEX(result_20260611!$A:$Z,0,MATCH(sum_pos_20260611!L$1,result_20260611!$1:$1,0)))</f>
        <v>0</v>
      </c>
      <c r="M4">
        <f>SUMIF(result_20260611!$B:$B,sum_pos_20260611!$A4,INDEX(result_20260611!$A:$Z,0,MATCH(sum_pos_20260611!M$1,result_20260611!$1:$1,0)))</f>
        <v>0</v>
      </c>
      <c r="N4">
        <f>SUMIF(result_20260611!$B:$B,sum_pos_20260611!$A4,INDEX(result_20260611!$A:$Z,0,MATCH(sum_pos_20260611!N$1,result_20260611!$1:$1,0)))</f>
        <v>2</v>
      </c>
      <c r="O4">
        <f t="shared" si="0"/>
        <v>24</v>
      </c>
      <c r="P4" s="8">
        <f t="shared" si="1"/>
        <v>0.875</v>
      </c>
    </row>
    <row r="5" spans="1:16">
      <c r="A5" t="s">
        <v>9</v>
      </c>
      <c r="B5">
        <f>SUMIF(result_20260611!$B:$B,sum_pos_20260611!$A5,INDEX(result_20260611!$A:$Z,0,MATCH(sum_pos_20260611!B$1,result_20260611!$1:$1,0)))</f>
        <v>9</v>
      </c>
      <c r="C5">
        <f>SUMIF(result_20260611!$B:$B,sum_pos_20260611!$A5,INDEX(result_20260611!$A:$Z,0,MATCH(sum_pos_20260611!C$1,result_20260611!$1:$1,0)))</f>
        <v>10</v>
      </c>
      <c r="D5">
        <f>SUMIF(result_20260611!$B:$B,sum_pos_20260611!$A5,INDEX(result_20260611!$A:$Z,0,MATCH(sum_pos_20260611!D$1,result_20260611!$1:$1,0)))</f>
        <v>0</v>
      </c>
      <c r="E5">
        <f>SUMIF(result_20260611!$B:$B,sum_pos_20260611!$A5,INDEX(result_20260611!$A:$Z,0,MATCH(sum_pos_20260611!E$1,result_20260611!$1:$1,0)))</f>
        <v>5</v>
      </c>
      <c r="F5">
        <f>SUMIF(result_20260611!$B:$B,sum_pos_20260611!$A5,INDEX(result_20260611!$A:$Z,0,MATCH(sum_pos_20260611!F$1,result_20260611!$1:$1,0)))</f>
        <v>0</v>
      </c>
      <c r="G5">
        <f>SUMIF(result_20260611!$B:$B,sum_pos_20260611!$A5,INDEX(result_20260611!$A:$Z,0,MATCH(sum_pos_20260611!G$1,result_20260611!$1:$1,0)))</f>
        <v>0</v>
      </c>
      <c r="H5">
        <f>SUMIF(result_20260611!$B:$B,sum_pos_20260611!$A5,INDEX(result_20260611!$A:$Z,0,MATCH(sum_pos_20260611!H$1,result_20260611!$1:$1,0)))</f>
        <v>3</v>
      </c>
      <c r="I5">
        <f>SUMIF(result_20260611!$B:$B,sum_pos_20260611!$A5,INDEX(result_20260611!$A:$Z,0,MATCH(sum_pos_20260611!I$1,result_20260611!$1:$1,0)))</f>
        <v>0</v>
      </c>
      <c r="J5">
        <f>SUMIF(result_20260611!$B:$B,sum_pos_20260611!$A5,INDEX(result_20260611!$A:$Z,0,MATCH(sum_pos_20260611!J$1,result_20260611!$1:$1,0)))</f>
        <v>5</v>
      </c>
      <c r="K5">
        <f>SUMIF(result_20260611!$B:$B,sum_pos_20260611!$A5,INDEX(result_20260611!$A:$Z,0,MATCH(sum_pos_20260611!K$1,result_20260611!$1:$1,0)))</f>
        <v>0</v>
      </c>
      <c r="L5">
        <f>SUMIF(result_20260611!$B:$B,sum_pos_20260611!$A5,INDEX(result_20260611!$A:$Z,0,MATCH(sum_pos_20260611!L$1,result_20260611!$1:$1,0)))</f>
        <v>2</v>
      </c>
      <c r="M5">
        <f>SUMIF(result_20260611!$B:$B,sum_pos_20260611!$A5,INDEX(result_20260611!$A:$Z,0,MATCH(sum_pos_20260611!M$1,result_20260611!$1:$1,0)))</f>
        <v>3</v>
      </c>
      <c r="N5">
        <f>SUMIF(result_20260611!$B:$B,sum_pos_20260611!$A5,INDEX(result_20260611!$A:$Z,0,MATCH(sum_pos_20260611!N$1,result_20260611!$1:$1,0)))</f>
        <v>2</v>
      </c>
      <c r="O5">
        <f t="shared" si="0"/>
        <v>24</v>
      </c>
      <c r="P5" s="8">
        <f t="shared" si="1"/>
        <v>0.79166666666666663</v>
      </c>
    </row>
    <row r="6" spans="1:16">
      <c r="A6" t="s">
        <v>10</v>
      </c>
      <c r="B6">
        <f>SUMIF(result_20260611!$B:$B,sum_pos_20260611!$A6,INDEX(result_20260611!$A:$Z,0,MATCH(sum_pos_20260611!B$1,result_20260611!$1:$1,0)))</f>
        <v>2</v>
      </c>
      <c r="C6">
        <f>SUMIF(result_20260611!$B:$B,sum_pos_20260611!$A6,INDEX(result_20260611!$A:$Z,0,MATCH(sum_pos_20260611!C$1,result_20260611!$1:$1,0)))</f>
        <v>4</v>
      </c>
      <c r="D6">
        <f>SUMIF(result_20260611!$B:$B,sum_pos_20260611!$A6,INDEX(result_20260611!$A:$Z,0,MATCH(sum_pos_20260611!D$1,result_20260611!$1:$1,0)))</f>
        <v>0</v>
      </c>
      <c r="E6">
        <f>SUMIF(result_20260611!$B:$B,sum_pos_20260611!$A6,INDEX(result_20260611!$A:$Z,0,MATCH(sum_pos_20260611!E$1,result_20260611!$1:$1,0)))</f>
        <v>0</v>
      </c>
      <c r="F6">
        <f>SUMIF(result_20260611!$B:$B,sum_pos_20260611!$A6,INDEX(result_20260611!$A:$Z,0,MATCH(sum_pos_20260611!F$1,result_20260611!$1:$1,0)))</f>
        <v>0</v>
      </c>
      <c r="G6">
        <f>SUMIF(result_20260611!$B:$B,sum_pos_20260611!$A6,INDEX(result_20260611!$A:$Z,0,MATCH(sum_pos_20260611!G$1,result_20260611!$1:$1,0)))</f>
        <v>0</v>
      </c>
      <c r="H6">
        <f>SUMIF(result_20260611!$B:$B,sum_pos_20260611!$A6,INDEX(result_20260611!$A:$Z,0,MATCH(sum_pos_20260611!H$1,result_20260611!$1:$1,0)))</f>
        <v>0</v>
      </c>
      <c r="I6">
        <f>SUMIF(result_20260611!$B:$B,sum_pos_20260611!$A6,INDEX(result_20260611!$A:$Z,0,MATCH(sum_pos_20260611!I$1,result_20260611!$1:$1,0)))</f>
        <v>0</v>
      </c>
      <c r="J6">
        <f>SUMIF(result_20260611!$B:$B,sum_pos_20260611!$A6,INDEX(result_20260611!$A:$Z,0,MATCH(sum_pos_20260611!J$1,result_20260611!$1:$1,0)))</f>
        <v>3</v>
      </c>
      <c r="K6">
        <f>SUMIF(result_20260611!$B:$B,sum_pos_20260611!$A6,INDEX(result_20260611!$A:$Z,0,MATCH(sum_pos_20260611!K$1,result_20260611!$1:$1,0)))</f>
        <v>0</v>
      </c>
      <c r="L6">
        <f>SUMIF(result_20260611!$B:$B,sum_pos_20260611!$A6,INDEX(result_20260611!$A:$Z,0,MATCH(sum_pos_20260611!L$1,result_20260611!$1:$1,0)))</f>
        <v>0</v>
      </c>
      <c r="M6">
        <f>SUMIF(result_20260611!$B:$B,sum_pos_20260611!$A6,INDEX(result_20260611!$A:$Z,0,MATCH(sum_pos_20260611!M$1,result_20260611!$1:$1,0)))</f>
        <v>0</v>
      </c>
      <c r="N6">
        <f>SUMIF(result_20260611!$B:$B,sum_pos_20260611!$A6,INDEX(result_20260611!$A:$Z,0,MATCH(sum_pos_20260611!N$1,result_20260611!$1:$1,0)))</f>
        <v>1</v>
      </c>
      <c r="O6">
        <f t="shared" si="0"/>
        <v>6</v>
      </c>
      <c r="P6" s="8">
        <f t="shared" si="1"/>
        <v>1</v>
      </c>
    </row>
    <row r="7" spans="1:16">
      <c r="A7" t="s">
        <v>11</v>
      </c>
      <c r="B7">
        <f>SUMIF(result_20260611!$B:$B,sum_pos_20260611!$A7,INDEX(result_20260611!$A:$Z,0,MATCH(sum_pos_20260611!B$1,result_20260611!$1:$1,0)))</f>
        <v>11</v>
      </c>
      <c r="C7">
        <f>SUMIF(result_20260611!$B:$B,sum_pos_20260611!$A7,INDEX(result_20260611!$A:$Z,0,MATCH(sum_pos_20260611!C$1,result_20260611!$1:$1,0)))</f>
        <v>9</v>
      </c>
      <c r="D7">
        <f>SUMIF(result_20260611!$B:$B,sum_pos_20260611!$A7,INDEX(result_20260611!$A:$Z,0,MATCH(sum_pos_20260611!D$1,result_20260611!$1:$1,0)))</f>
        <v>0</v>
      </c>
      <c r="E7">
        <f>SUMIF(result_20260611!$B:$B,sum_pos_20260611!$A7,INDEX(result_20260611!$A:$Z,0,MATCH(sum_pos_20260611!E$1,result_20260611!$1:$1,0)))</f>
        <v>4</v>
      </c>
      <c r="F7">
        <f>SUMIF(result_20260611!$B:$B,sum_pos_20260611!$A7,INDEX(result_20260611!$A:$Z,0,MATCH(sum_pos_20260611!F$1,result_20260611!$1:$1,0)))</f>
        <v>0</v>
      </c>
      <c r="G7">
        <f>SUMIF(result_20260611!$B:$B,sum_pos_20260611!$A7,INDEX(result_20260611!$A:$Z,0,MATCH(sum_pos_20260611!G$1,result_20260611!$1:$1,0)))</f>
        <v>0</v>
      </c>
      <c r="H7">
        <f>SUMIF(result_20260611!$B:$B,sum_pos_20260611!$A7,INDEX(result_20260611!$A:$Z,0,MATCH(sum_pos_20260611!H$1,result_20260611!$1:$1,0)))</f>
        <v>3</v>
      </c>
      <c r="I7">
        <f>SUMIF(result_20260611!$B:$B,sum_pos_20260611!$A7,INDEX(result_20260611!$A:$Z,0,MATCH(sum_pos_20260611!I$1,result_20260611!$1:$1,0)))</f>
        <v>0</v>
      </c>
      <c r="J7">
        <f>SUMIF(result_20260611!$B:$B,sum_pos_20260611!$A7,INDEX(result_20260611!$A:$Z,0,MATCH(sum_pos_20260611!J$1,result_20260611!$1:$1,0)))</f>
        <v>5</v>
      </c>
      <c r="K7">
        <f>SUMIF(result_20260611!$B:$B,sum_pos_20260611!$A7,INDEX(result_20260611!$A:$Z,0,MATCH(sum_pos_20260611!K$1,result_20260611!$1:$1,0)))</f>
        <v>0</v>
      </c>
      <c r="L7">
        <f>SUMIF(result_20260611!$B:$B,sum_pos_20260611!$A7,INDEX(result_20260611!$A:$Z,0,MATCH(sum_pos_20260611!L$1,result_20260611!$1:$1,0)))</f>
        <v>3</v>
      </c>
      <c r="M7">
        <f>SUMIF(result_20260611!$B:$B,sum_pos_20260611!$A7,INDEX(result_20260611!$A:$Z,0,MATCH(sum_pos_20260611!M$1,result_20260611!$1:$1,0)))</f>
        <v>1</v>
      </c>
      <c r="N7">
        <f>SUMIF(result_20260611!$B:$B,sum_pos_20260611!$A7,INDEX(result_20260611!$A:$Z,0,MATCH(sum_pos_20260611!N$1,result_20260611!$1:$1,0)))</f>
        <v>1</v>
      </c>
      <c r="O7">
        <f t="shared" si="0"/>
        <v>24</v>
      </c>
      <c r="P7" s="8">
        <f t="shared" si="1"/>
        <v>0.83333333333333337</v>
      </c>
    </row>
    <row r="8" spans="1:16">
      <c r="A8" t="s">
        <v>12</v>
      </c>
      <c r="B8">
        <f>SUMIF(result_20260611!$B:$B,sum_pos_20260611!$A8,INDEX(result_20260611!$A:$Z,0,MATCH(sum_pos_20260611!B$1,result_20260611!$1:$1,0)))</f>
        <v>4</v>
      </c>
      <c r="C8">
        <f>SUMIF(result_20260611!$B:$B,sum_pos_20260611!$A8,INDEX(result_20260611!$A:$Z,0,MATCH(sum_pos_20260611!C$1,result_20260611!$1:$1,0)))</f>
        <v>12</v>
      </c>
      <c r="D8">
        <f>SUMIF(result_20260611!$B:$B,sum_pos_20260611!$A8,INDEX(result_20260611!$A:$Z,0,MATCH(sum_pos_20260611!D$1,result_20260611!$1:$1,0)))</f>
        <v>0</v>
      </c>
      <c r="E8">
        <f>SUMIF(result_20260611!$B:$B,sum_pos_20260611!$A8,INDEX(result_20260611!$A:$Z,0,MATCH(sum_pos_20260611!E$1,result_20260611!$1:$1,0)))</f>
        <v>8</v>
      </c>
      <c r="F8">
        <f>SUMIF(result_20260611!$B:$B,sum_pos_20260611!$A8,INDEX(result_20260611!$A:$Z,0,MATCH(sum_pos_20260611!F$1,result_20260611!$1:$1,0)))</f>
        <v>0</v>
      </c>
      <c r="G8">
        <f>SUMIF(result_20260611!$B:$B,sum_pos_20260611!$A8,INDEX(result_20260611!$A:$Z,0,MATCH(sum_pos_20260611!G$1,result_20260611!$1:$1,0)))</f>
        <v>1</v>
      </c>
      <c r="H8">
        <f>SUMIF(result_20260611!$B:$B,sum_pos_20260611!$A8,INDEX(result_20260611!$A:$Z,0,MATCH(sum_pos_20260611!H$1,result_20260611!$1:$1,0)))</f>
        <v>6</v>
      </c>
      <c r="I8">
        <f>SUMIF(result_20260611!$B:$B,sum_pos_20260611!$A8,INDEX(result_20260611!$A:$Z,0,MATCH(sum_pos_20260611!I$1,result_20260611!$1:$1,0)))</f>
        <v>1</v>
      </c>
      <c r="J8">
        <f>SUMIF(result_20260611!$B:$B,sum_pos_20260611!$A8,INDEX(result_20260611!$A:$Z,0,MATCH(sum_pos_20260611!J$1,result_20260611!$1:$1,0)))</f>
        <v>5</v>
      </c>
      <c r="K8">
        <f>SUMIF(result_20260611!$B:$B,sum_pos_20260611!$A8,INDEX(result_20260611!$A:$Z,0,MATCH(sum_pos_20260611!K$1,result_20260611!$1:$1,0)))</f>
        <v>0</v>
      </c>
      <c r="L8">
        <f>SUMIF(result_20260611!$B:$B,sum_pos_20260611!$A8,INDEX(result_20260611!$A:$Z,0,MATCH(sum_pos_20260611!L$1,result_20260611!$1:$1,0)))</f>
        <v>3</v>
      </c>
      <c r="M8">
        <f>SUMIF(result_20260611!$B:$B,sum_pos_20260611!$A8,INDEX(result_20260611!$A:$Z,0,MATCH(sum_pos_20260611!M$1,result_20260611!$1:$1,0)))</f>
        <v>3</v>
      </c>
      <c r="N8">
        <f>SUMIF(result_20260611!$B:$B,sum_pos_20260611!$A8,INDEX(result_20260611!$A:$Z,0,MATCH(sum_pos_20260611!N$1,result_20260611!$1:$1,0)))</f>
        <v>1</v>
      </c>
      <c r="O8">
        <f t="shared" si="0"/>
        <v>24</v>
      </c>
      <c r="P8" s="8">
        <f t="shared" si="1"/>
        <v>0.66666666666666663</v>
      </c>
    </row>
    <row r="9" spans="1:16">
      <c r="A9" t="s">
        <v>13</v>
      </c>
      <c r="B9">
        <f>SUMIF(result_20260611!$B:$B,sum_pos_20260611!$A9,INDEX(result_20260611!$A:$Z,0,MATCH(sum_pos_20260611!B$1,result_20260611!$1:$1,0)))</f>
        <v>1</v>
      </c>
      <c r="C9">
        <f>SUMIF(result_20260611!$B:$B,sum_pos_20260611!$A9,INDEX(result_20260611!$A:$Z,0,MATCH(sum_pos_20260611!C$1,result_20260611!$1:$1,0)))</f>
        <v>5</v>
      </c>
      <c r="D9">
        <f>SUMIF(result_20260611!$B:$B,sum_pos_20260611!$A9,INDEX(result_20260611!$A:$Z,0,MATCH(sum_pos_20260611!D$1,result_20260611!$1:$1,0)))</f>
        <v>0</v>
      </c>
      <c r="E9">
        <f>SUMIF(result_20260611!$B:$B,sum_pos_20260611!$A9,INDEX(result_20260611!$A:$Z,0,MATCH(sum_pos_20260611!E$1,result_20260611!$1:$1,0)))</f>
        <v>0</v>
      </c>
      <c r="F9">
        <f>SUMIF(result_20260611!$B:$B,sum_pos_20260611!$A9,INDEX(result_20260611!$A:$Z,0,MATCH(sum_pos_20260611!F$1,result_20260611!$1:$1,0)))</f>
        <v>2</v>
      </c>
      <c r="G9">
        <f>SUMIF(result_20260611!$B:$B,sum_pos_20260611!$A9,INDEX(result_20260611!$A:$Z,0,MATCH(sum_pos_20260611!G$1,result_20260611!$1:$1,0)))</f>
        <v>0</v>
      </c>
      <c r="H9">
        <f>SUMIF(result_20260611!$B:$B,sum_pos_20260611!$A9,INDEX(result_20260611!$A:$Z,0,MATCH(sum_pos_20260611!H$1,result_20260611!$1:$1,0)))</f>
        <v>0</v>
      </c>
      <c r="I9">
        <f>SUMIF(result_20260611!$B:$B,sum_pos_20260611!$A9,INDEX(result_20260611!$A:$Z,0,MATCH(sum_pos_20260611!I$1,result_20260611!$1:$1,0)))</f>
        <v>0</v>
      </c>
      <c r="J9">
        <f>SUMIF(result_20260611!$B:$B,sum_pos_20260611!$A9,INDEX(result_20260611!$A:$Z,0,MATCH(sum_pos_20260611!J$1,result_20260611!$1:$1,0)))</f>
        <v>3</v>
      </c>
      <c r="K9">
        <f>SUMIF(result_20260611!$B:$B,sum_pos_20260611!$A9,INDEX(result_20260611!$A:$Z,0,MATCH(sum_pos_20260611!K$1,result_20260611!$1:$1,0)))</f>
        <v>0</v>
      </c>
      <c r="L9">
        <f>SUMIF(result_20260611!$B:$B,sum_pos_20260611!$A9,INDEX(result_20260611!$A:$Z,0,MATCH(sum_pos_20260611!L$1,result_20260611!$1:$1,0)))</f>
        <v>0</v>
      </c>
      <c r="M9">
        <f>SUMIF(result_20260611!$B:$B,sum_pos_20260611!$A9,INDEX(result_20260611!$A:$Z,0,MATCH(sum_pos_20260611!M$1,result_20260611!$1:$1,0)))</f>
        <v>0</v>
      </c>
      <c r="N9">
        <f>SUMIF(result_20260611!$B:$B,sum_pos_20260611!$A9,INDEX(result_20260611!$A:$Z,0,MATCH(sum_pos_20260611!N$1,result_20260611!$1:$1,0)))</f>
        <v>1</v>
      </c>
      <c r="O9">
        <f t="shared" si="0"/>
        <v>6</v>
      </c>
      <c r="P9" s="8">
        <f t="shared" si="1"/>
        <v>1</v>
      </c>
    </row>
    <row r="10" spans="1:16">
      <c r="A10" t="s">
        <v>14</v>
      </c>
      <c r="B10">
        <f>SUMIF(result_20260611!$B:$B,sum_pos_20260611!$A10,INDEX(result_20260611!$A:$Z,0,MATCH(sum_pos_20260611!B$1,result_20260611!$1:$1,0)))</f>
        <v>6</v>
      </c>
      <c r="C10">
        <f>SUMIF(result_20260611!$B:$B,sum_pos_20260611!$A10,INDEX(result_20260611!$A:$Z,0,MATCH(sum_pos_20260611!C$1,result_20260611!$1:$1,0)))</f>
        <v>10</v>
      </c>
      <c r="D10">
        <f>SUMIF(result_20260611!$B:$B,sum_pos_20260611!$A10,INDEX(result_20260611!$A:$Z,0,MATCH(sum_pos_20260611!D$1,result_20260611!$1:$1,0)))</f>
        <v>0</v>
      </c>
      <c r="E10">
        <f>SUMIF(result_20260611!$B:$B,sum_pos_20260611!$A10,INDEX(result_20260611!$A:$Z,0,MATCH(sum_pos_20260611!E$1,result_20260611!$1:$1,0)))</f>
        <v>8</v>
      </c>
      <c r="F10">
        <f>SUMIF(result_20260611!$B:$B,sum_pos_20260611!$A10,INDEX(result_20260611!$A:$Z,0,MATCH(sum_pos_20260611!F$1,result_20260611!$1:$1,0)))</f>
        <v>0</v>
      </c>
      <c r="G10">
        <f>SUMIF(result_20260611!$B:$B,sum_pos_20260611!$A10,INDEX(result_20260611!$A:$Z,0,MATCH(sum_pos_20260611!G$1,result_20260611!$1:$1,0)))</f>
        <v>3</v>
      </c>
      <c r="H10">
        <f>SUMIF(result_20260611!$B:$B,sum_pos_20260611!$A10,INDEX(result_20260611!$A:$Z,0,MATCH(sum_pos_20260611!H$1,result_20260611!$1:$1,0)))</f>
        <v>1</v>
      </c>
      <c r="I10">
        <f>SUMIF(result_20260611!$B:$B,sum_pos_20260611!$A10,INDEX(result_20260611!$A:$Z,0,MATCH(sum_pos_20260611!I$1,result_20260611!$1:$1,0)))</f>
        <v>0</v>
      </c>
      <c r="J10">
        <f>SUMIF(result_20260611!$B:$B,sum_pos_20260611!$A10,INDEX(result_20260611!$A:$Z,0,MATCH(sum_pos_20260611!J$1,result_20260611!$1:$1,0)))</f>
        <v>5</v>
      </c>
      <c r="K10">
        <f>SUMIF(result_20260611!$B:$B,sum_pos_20260611!$A10,INDEX(result_20260611!$A:$Z,0,MATCH(sum_pos_20260611!K$1,result_20260611!$1:$1,0)))</f>
        <v>0</v>
      </c>
      <c r="L10">
        <f>SUMIF(result_20260611!$B:$B,sum_pos_20260611!$A10,INDEX(result_20260611!$A:$Z,0,MATCH(sum_pos_20260611!L$1,result_20260611!$1:$1,0)))</f>
        <v>0</v>
      </c>
      <c r="M10">
        <f>SUMIF(result_20260611!$B:$B,sum_pos_20260611!$A10,INDEX(result_20260611!$A:$Z,0,MATCH(sum_pos_20260611!M$1,result_20260611!$1:$1,0)))</f>
        <v>5</v>
      </c>
      <c r="N10">
        <f>SUMIF(result_20260611!$B:$B,sum_pos_20260611!$A10,INDEX(result_20260611!$A:$Z,0,MATCH(sum_pos_20260611!N$1,result_20260611!$1:$1,0)))</f>
        <v>4</v>
      </c>
      <c r="O10">
        <f t="shared" si="0"/>
        <v>24</v>
      </c>
      <c r="P10" s="8">
        <f t="shared" si="1"/>
        <v>0.66666666666666663</v>
      </c>
    </row>
    <row r="11" spans="1:16">
      <c r="A11" s="24" t="s">
        <v>35</v>
      </c>
      <c r="B11" s="24">
        <f>SUM(B2:B10)</f>
        <v>58</v>
      </c>
      <c r="C11" s="24">
        <f t="shared" ref="C11:O11" si="2">SUM(C2:C10)</f>
        <v>71</v>
      </c>
      <c r="D11" s="24">
        <f t="shared" si="2"/>
        <v>0</v>
      </c>
      <c r="E11" s="24">
        <f t="shared" si="2"/>
        <v>33</v>
      </c>
      <c r="F11" s="24">
        <f t="shared" si="2"/>
        <v>3</v>
      </c>
      <c r="G11" s="24">
        <f t="shared" si="2"/>
        <v>7</v>
      </c>
      <c r="H11" s="24">
        <f t="shared" si="2"/>
        <v>15</v>
      </c>
      <c r="I11" s="24">
        <f t="shared" si="2"/>
        <v>1</v>
      </c>
      <c r="J11" s="24">
        <f t="shared" si="2"/>
        <v>35</v>
      </c>
      <c r="K11" s="24">
        <f t="shared" si="2"/>
        <v>0</v>
      </c>
      <c r="L11" s="24">
        <f t="shared" si="2"/>
        <v>11</v>
      </c>
      <c r="M11" s="24">
        <f t="shared" si="2"/>
        <v>14</v>
      </c>
      <c r="N11" s="24">
        <f t="shared" si="2"/>
        <v>19</v>
      </c>
      <c r="O11" s="24">
        <f t="shared" si="2"/>
        <v>162</v>
      </c>
      <c r="P11" s="25">
        <f t="shared" ref="P11" si="3">SUM(B11+C11)/O11</f>
        <v>0.79629629629629628</v>
      </c>
    </row>
    <row r="13" spans="1:16">
      <c r="A13" t="s">
        <v>74</v>
      </c>
    </row>
    <row r="14" spans="1:16">
      <c r="A14" s="24" t="s">
        <v>3</v>
      </c>
      <c r="B14" s="24" t="s">
        <v>0</v>
      </c>
      <c r="C14" s="24" t="s">
        <v>16</v>
      </c>
      <c r="D14" s="24" t="s">
        <v>21</v>
      </c>
      <c r="E14" s="24" t="s">
        <v>17</v>
      </c>
      <c r="F14" s="24" t="s">
        <v>69</v>
      </c>
      <c r="G14" s="24" t="s">
        <v>1</v>
      </c>
      <c r="H14" s="24" t="s">
        <v>68</v>
      </c>
      <c r="I14" s="24" t="s">
        <v>62</v>
      </c>
      <c r="J14" s="24" t="s">
        <v>72</v>
      </c>
      <c r="K14" s="24" t="s">
        <v>18</v>
      </c>
      <c r="L14" s="24" t="s">
        <v>23</v>
      </c>
      <c r="M14" s="24" t="s">
        <v>71</v>
      </c>
      <c r="N14" s="24" t="s">
        <v>70</v>
      </c>
      <c r="O14" s="24" t="s">
        <v>33</v>
      </c>
      <c r="P14" s="25" t="s">
        <v>34</v>
      </c>
    </row>
    <row r="15" spans="1:16">
      <c r="A15" t="s">
        <v>6</v>
      </c>
      <c r="B15">
        <f>SUMIF(result_20260611!$B:$B,sum_pos_20260611!$A15,INDEX(result_20260611!$A:$Z,0,MATCH(sum_pos_20260611!B$1,result_20260611!$1:$1,0)))</f>
        <v>10</v>
      </c>
      <c r="C15">
        <f>SUMIF(result_20260611!$B:$B,sum_pos_20260611!$A15,INDEX(result_20260611!$A:$Z,0,MATCH(sum_pos_20260611!C$1,result_20260611!$1:$1,0)))</f>
        <v>9</v>
      </c>
      <c r="D15">
        <f>SUMIF(result_20260611!$B:$B,sum_pos_20260611!$A15,INDEX(result_20260611!$A:$Z,0,MATCH(sum_pos_20260611!D$1,result_20260611!$1:$1,0)))</f>
        <v>0</v>
      </c>
      <c r="E15">
        <f>SUMIF(result_20260611!$B:$B,sum_pos_20260611!$A15,INDEX(result_20260611!$A:$Z,0,MATCH(sum_pos_20260611!E$1,result_20260611!$1:$1,0)))</f>
        <v>5</v>
      </c>
      <c r="F15">
        <f>SUMIF(result_20260611!$B:$B,sum_pos_20260611!$A15,INDEX(result_20260611!$A:$Z,0,MATCH(sum_pos_20260611!F$1,result_20260611!$1:$1,0)))</f>
        <v>0</v>
      </c>
      <c r="G15">
        <f>SUMIF(result_20260611!$B:$B,sum_pos_20260611!$A15,INDEX(result_20260611!$A:$Z,0,MATCH(sum_pos_20260611!G$1,result_20260611!$1:$1,0)))</f>
        <v>0</v>
      </c>
      <c r="H15">
        <f>SUMIF(result_20260611!$B:$B,sum_pos_20260611!$A15,INDEX(result_20260611!$A:$Z,0,MATCH(sum_pos_20260611!H$1,result_20260611!$1:$1,0)))</f>
        <v>0</v>
      </c>
      <c r="I15">
        <f>SUMIF(result_20260611!$B:$B,sum_pos_20260611!$A15,INDEX(result_20260611!$A:$Z,0,MATCH(sum_pos_20260611!I$1,result_20260611!$1:$1,0)))</f>
        <v>0</v>
      </c>
      <c r="J15">
        <f>SUMIF(result_20260611!$B:$B,sum_pos_20260611!$A15,INDEX(result_20260611!$A:$Z,0,MATCH(sum_pos_20260611!J$1,result_20260611!$1:$1,0)))</f>
        <v>3</v>
      </c>
      <c r="K15">
        <f>SUMIF(result_20260611!$B:$B,sum_pos_20260611!$A15,INDEX(result_20260611!$A:$Z,0,MATCH(sum_pos_20260611!K$1,result_20260611!$1:$1,0)))</f>
        <v>0</v>
      </c>
      <c r="L15">
        <f>SUMIF(result_20260611!$B:$B,sum_pos_20260611!$A15,INDEX(result_20260611!$A:$Z,0,MATCH(sum_pos_20260611!L$1,result_20260611!$1:$1,0)))</f>
        <v>3</v>
      </c>
      <c r="M15">
        <f>SUMIF(result_20260611!$B:$B,sum_pos_20260611!$A15,INDEX(result_20260611!$A:$Z,0,MATCH(sum_pos_20260611!M$1,result_20260611!$1:$1,0)))</f>
        <v>2</v>
      </c>
      <c r="N15">
        <f>SUMIF(result_20260611!$B:$B,sum_pos_20260611!$A15,INDEX(result_20260611!$A:$Z,0,MATCH(sum_pos_20260611!N$1,result_20260611!$1:$1,0)))</f>
        <v>6</v>
      </c>
      <c r="O15">
        <f t="shared" ref="O15:O20" si="4">SUM(B15:E15)</f>
        <v>24</v>
      </c>
      <c r="P15" s="8">
        <f t="shared" ref="P15:P20" si="5">SUM(B15:C15)/O15</f>
        <v>0.79166666666666663</v>
      </c>
    </row>
    <row r="16" spans="1:16">
      <c r="A16" t="s">
        <v>8</v>
      </c>
      <c r="B16">
        <f>SUMIF(result_20260611!$B:$B,sum_pos_20260611!$A16,INDEX(result_20260611!$A:$Z,0,MATCH(sum_pos_20260611!B$1,result_20260611!$1:$1,0)))</f>
        <v>14</v>
      </c>
      <c r="C16">
        <f>SUMIF(result_20260611!$B:$B,sum_pos_20260611!$A16,INDEX(result_20260611!$A:$Z,0,MATCH(sum_pos_20260611!C$1,result_20260611!$1:$1,0)))</f>
        <v>7</v>
      </c>
      <c r="D16">
        <f>SUMIF(result_20260611!$B:$B,sum_pos_20260611!$A16,INDEX(result_20260611!$A:$Z,0,MATCH(sum_pos_20260611!D$1,result_20260611!$1:$1,0)))</f>
        <v>0</v>
      </c>
      <c r="E16">
        <f>SUMIF(result_20260611!$B:$B,sum_pos_20260611!$A16,INDEX(result_20260611!$A:$Z,0,MATCH(sum_pos_20260611!E$1,result_20260611!$1:$1,0)))</f>
        <v>3</v>
      </c>
      <c r="F16">
        <f>SUMIF(result_20260611!$B:$B,sum_pos_20260611!$A16,INDEX(result_20260611!$A:$Z,0,MATCH(sum_pos_20260611!F$1,result_20260611!$1:$1,0)))</f>
        <v>0</v>
      </c>
      <c r="G16">
        <f>SUMIF(result_20260611!$B:$B,sum_pos_20260611!$A16,INDEX(result_20260611!$A:$Z,0,MATCH(sum_pos_20260611!G$1,result_20260611!$1:$1,0)))</f>
        <v>3</v>
      </c>
      <c r="H16">
        <f>SUMIF(result_20260611!$B:$B,sum_pos_20260611!$A16,INDEX(result_20260611!$A:$Z,0,MATCH(sum_pos_20260611!H$1,result_20260611!$1:$1,0)))</f>
        <v>2</v>
      </c>
      <c r="I16">
        <f>SUMIF(result_20260611!$B:$B,sum_pos_20260611!$A16,INDEX(result_20260611!$A:$Z,0,MATCH(sum_pos_20260611!I$1,result_20260611!$1:$1,0)))</f>
        <v>0</v>
      </c>
      <c r="J16">
        <f>SUMIF(result_20260611!$B:$B,sum_pos_20260611!$A16,INDEX(result_20260611!$A:$Z,0,MATCH(sum_pos_20260611!J$1,result_20260611!$1:$1,0)))</f>
        <v>3</v>
      </c>
      <c r="K16">
        <f>SUMIF(result_20260611!$B:$B,sum_pos_20260611!$A16,INDEX(result_20260611!$A:$Z,0,MATCH(sum_pos_20260611!K$1,result_20260611!$1:$1,0)))</f>
        <v>0</v>
      </c>
      <c r="L16">
        <f>SUMIF(result_20260611!$B:$B,sum_pos_20260611!$A16,INDEX(result_20260611!$A:$Z,0,MATCH(sum_pos_20260611!L$1,result_20260611!$1:$1,0)))</f>
        <v>0</v>
      </c>
      <c r="M16">
        <f>SUMIF(result_20260611!$B:$B,sum_pos_20260611!$A16,INDEX(result_20260611!$A:$Z,0,MATCH(sum_pos_20260611!M$1,result_20260611!$1:$1,0)))</f>
        <v>0</v>
      </c>
      <c r="N16">
        <f>SUMIF(result_20260611!$B:$B,sum_pos_20260611!$A16,INDEX(result_20260611!$A:$Z,0,MATCH(sum_pos_20260611!N$1,result_20260611!$1:$1,0)))</f>
        <v>2</v>
      </c>
      <c r="O16">
        <f t="shared" si="4"/>
        <v>24</v>
      </c>
      <c r="P16" s="8">
        <f t="shared" si="5"/>
        <v>0.875</v>
      </c>
    </row>
    <row r="17" spans="1:16">
      <c r="A17" t="s">
        <v>9</v>
      </c>
      <c r="B17">
        <f>SUMIF(result_20260611!$B:$B,sum_pos_20260611!$A17,INDEX(result_20260611!$A:$Z,0,MATCH(sum_pos_20260611!B$1,result_20260611!$1:$1,0)))</f>
        <v>9</v>
      </c>
      <c r="C17">
        <f>SUMIF(result_20260611!$B:$B,sum_pos_20260611!$A17,INDEX(result_20260611!$A:$Z,0,MATCH(sum_pos_20260611!C$1,result_20260611!$1:$1,0)))</f>
        <v>10</v>
      </c>
      <c r="D17">
        <f>SUMIF(result_20260611!$B:$B,sum_pos_20260611!$A17,INDEX(result_20260611!$A:$Z,0,MATCH(sum_pos_20260611!D$1,result_20260611!$1:$1,0)))</f>
        <v>0</v>
      </c>
      <c r="E17">
        <f>SUMIF(result_20260611!$B:$B,sum_pos_20260611!$A17,INDEX(result_20260611!$A:$Z,0,MATCH(sum_pos_20260611!E$1,result_20260611!$1:$1,0)))</f>
        <v>5</v>
      </c>
      <c r="F17">
        <f>SUMIF(result_20260611!$B:$B,sum_pos_20260611!$A17,INDEX(result_20260611!$A:$Z,0,MATCH(sum_pos_20260611!F$1,result_20260611!$1:$1,0)))</f>
        <v>0</v>
      </c>
      <c r="G17">
        <f>SUMIF(result_20260611!$B:$B,sum_pos_20260611!$A17,INDEX(result_20260611!$A:$Z,0,MATCH(sum_pos_20260611!G$1,result_20260611!$1:$1,0)))</f>
        <v>0</v>
      </c>
      <c r="H17">
        <f>SUMIF(result_20260611!$B:$B,sum_pos_20260611!$A17,INDEX(result_20260611!$A:$Z,0,MATCH(sum_pos_20260611!H$1,result_20260611!$1:$1,0)))</f>
        <v>3</v>
      </c>
      <c r="I17">
        <f>SUMIF(result_20260611!$B:$B,sum_pos_20260611!$A17,INDEX(result_20260611!$A:$Z,0,MATCH(sum_pos_20260611!I$1,result_20260611!$1:$1,0)))</f>
        <v>0</v>
      </c>
      <c r="J17">
        <f>SUMIF(result_20260611!$B:$B,sum_pos_20260611!$A17,INDEX(result_20260611!$A:$Z,0,MATCH(sum_pos_20260611!J$1,result_20260611!$1:$1,0)))</f>
        <v>5</v>
      </c>
      <c r="K17">
        <f>SUMIF(result_20260611!$B:$B,sum_pos_20260611!$A17,INDEX(result_20260611!$A:$Z,0,MATCH(sum_pos_20260611!K$1,result_20260611!$1:$1,0)))</f>
        <v>0</v>
      </c>
      <c r="L17">
        <f>SUMIF(result_20260611!$B:$B,sum_pos_20260611!$A17,INDEX(result_20260611!$A:$Z,0,MATCH(sum_pos_20260611!L$1,result_20260611!$1:$1,0)))</f>
        <v>2</v>
      </c>
      <c r="M17">
        <f>SUMIF(result_20260611!$B:$B,sum_pos_20260611!$A17,INDEX(result_20260611!$A:$Z,0,MATCH(sum_pos_20260611!M$1,result_20260611!$1:$1,0)))</f>
        <v>3</v>
      </c>
      <c r="N17">
        <f>SUMIF(result_20260611!$B:$B,sum_pos_20260611!$A17,INDEX(result_20260611!$A:$Z,0,MATCH(sum_pos_20260611!N$1,result_20260611!$1:$1,0)))</f>
        <v>2</v>
      </c>
      <c r="O17">
        <f t="shared" si="4"/>
        <v>24</v>
      </c>
      <c r="P17" s="8">
        <f t="shared" si="5"/>
        <v>0.79166666666666663</v>
      </c>
    </row>
    <row r="18" spans="1:16">
      <c r="A18" t="s">
        <v>11</v>
      </c>
      <c r="B18">
        <f>SUMIF(result_20260611!$B:$B,sum_pos_20260611!$A18,INDEX(result_20260611!$A:$Z,0,MATCH(sum_pos_20260611!B$1,result_20260611!$1:$1,0)))</f>
        <v>11</v>
      </c>
      <c r="C18">
        <f>SUMIF(result_20260611!$B:$B,sum_pos_20260611!$A18,INDEX(result_20260611!$A:$Z,0,MATCH(sum_pos_20260611!C$1,result_20260611!$1:$1,0)))</f>
        <v>9</v>
      </c>
      <c r="D18">
        <f>SUMIF(result_20260611!$B:$B,sum_pos_20260611!$A18,INDEX(result_20260611!$A:$Z,0,MATCH(sum_pos_20260611!D$1,result_20260611!$1:$1,0)))</f>
        <v>0</v>
      </c>
      <c r="E18">
        <f>SUMIF(result_20260611!$B:$B,sum_pos_20260611!$A18,INDEX(result_20260611!$A:$Z,0,MATCH(sum_pos_20260611!E$1,result_20260611!$1:$1,0)))</f>
        <v>4</v>
      </c>
      <c r="F18">
        <f>SUMIF(result_20260611!$B:$B,sum_pos_20260611!$A18,INDEX(result_20260611!$A:$Z,0,MATCH(sum_pos_20260611!F$1,result_20260611!$1:$1,0)))</f>
        <v>0</v>
      </c>
      <c r="G18">
        <f>SUMIF(result_20260611!$B:$B,sum_pos_20260611!$A18,INDEX(result_20260611!$A:$Z,0,MATCH(sum_pos_20260611!G$1,result_20260611!$1:$1,0)))</f>
        <v>0</v>
      </c>
      <c r="H18">
        <f>SUMIF(result_20260611!$B:$B,sum_pos_20260611!$A18,INDEX(result_20260611!$A:$Z,0,MATCH(sum_pos_20260611!H$1,result_20260611!$1:$1,0)))</f>
        <v>3</v>
      </c>
      <c r="I18">
        <f>SUMIF(result_20260611!$B:$B,sum_pos_20260611!$A18,INDEX(result_20260611!$A:$Z,0,MATCH(sum_pos_20260611!I$1,result_20260611!$1:$1,0)))</f>
        <v>0</v>
      </c>
      <c r="J18">
        <f>SUMIF(result_20260611!$B:$B,sum_pos_20260611!$A18,INDEX(result_20260611!$A:$Z,0,MATCH(sum_pos_20260611!J$1,result_20260611!$1:$1,0)))</f>
        <v>5</v>
      </c>
      <c r="K18">
        <f>SUMIF(result_20260611!$B:$B,sum_pos_20260611!$A18,INDEX(result_20260611!$A:$Z,0,MATCH(sum_pos_20260611!K$1,result_20260611!$1:$1,0)))</f>
        <v>0</v>
      </c>
      <c r="L18">
        <f>SUMIF(result_20260611!$B:$B,sum_pos_20260611!$A18,INDEX(result_20260611!$A:$Z,0,MATCH(sum_pos_20260611!L$1,result_20260611!$1:$1,0)))</f>
        <v>3</v>
      </c>
      <c r="M18">
        <f>SUMIF(result_20260611!$B:$B,sum_pos_20260611!$A18,INDEX(result_20260611!$A:$Z,0,MATCH(sum_pos_20260611!M$1,result_20260611!$1:$1,0)))</f>
        <v>1</v>
      </c>
      <c r="N18">
        <f>SUMIF(result_20260611!$B:$B,sum_pos_20260611!$A18,INDEX(result_20260611!$A:$Z,0,MATCH(sum_pos_20260611!N$1,result_20260611!$1:$1,0)))</f>
        <v>1</v>
      </c>
      <c r="O18">
        <f t="shared" si="4"/>
        <v>24</v>
      </c>
      <c r="P18" s="8">
        <f t="shared" si="5"/>
        <v>0.83333333333333337</v>
      </c>
    </row>
    <row r="19" spans="1:16">
      <c r="A19" t="s">
        <v>12</v>
      </c>
      <c r="B19">
        <f>SUMIF(result_20260611!$B:$B,sum_pos_20260611!$A19,INDEX(result_20260611!$A:$Z,0,MATCH(sum_pos_20260611!B$1,result_20260611!$1:$1,0)))</f>
        <v>4</v>
      </c>
      <c r="C19">
        <f>SUMIF(result_20260611!$B:$B,sum_pos_20260611!$A19,INDEX(result_20260611!$A:$Z,0,MATCH(sum_pos_20260611!C$1,result_20260611!$1:$1,0)))</f>
        <v>12</v>
      </c>
      <c r="D19">
        <f>SUMIF(result_20260611!$B:$B,sum_pos_20260611!$A19,INDEX(result_20260611!$A:$Z,0,MATCH(sum_pos_20260611!D$1,result_20260611!$1:$1,0)))</f>
        <v>0</v>
      </c>
      <c r="E19">
        <f>SUMIF(result_20260611!$B:$B,sum_pos_20260611!$A19,INDEX(result_20260611!$A:$Z,0,MATCH(sum_pos_20260611!E$1,result_20260611!$1:$1,0)))</f>
        <v>8</v>
      </c>
      <c r="F19">
        <f>SUMIF(result_20260611!$B:$B,sum_pos_20260611!$A19,INDEX(result_20260611!$A:$Z,0,MATCH(sum_pos_20260611!F$1,result_20260611!$1:$1,0)))</f>
        <v>0</v>
      </c>
      <c r="G19">
        <f>SUMIF(result_20260611!$B:$B,sum_pos_20260611!$A19,INDEX(result_20260611!$A:$Z,0,MATCH(sum_pos_20260611!G$1,result_20260611!$1:$1,0)))</f>
        <v>1</v>
      </c>
      <c r="H19">
        <f>SUMIF(result_20260611!$B:$B,sum_pos_20260611!$A19,INDEX(result_20260611!$A:$Z,0,MATCH(sum_pos_20260611!H$1,result_20260611!$1:$1,0)))</f>
        <v>6</v>
      </c>
      <c r="I19">
        <f>SUMIF(result_20260611!$B:$B,sum_pos_20260611!$A19,INDEX(result_20260611!$A:$Z,0,MATCH(sum_pos_20260611!I$1,result_20260611!$1:$1,0)))</f>
        <v>1</v>
      </c>
      <c r="J19">
        <f>SUMIF(result_20260611!$B:$B,sum_pos_20260611!$A19,INDEX(result_20260611!$A:$Z,0,MATCH(sum_pos_20260611!J$1,result_20260611!$1:$1,0)))</f>
        <v>5</v>
      </c>
      <c r="K19">
        <f>SUMIF(result_20260611!$B:$B,sum_pos_20260611!$A19,INDEX(result_20260611!$A:$Z,0,MATCH(sum_pos_20260611!K$1,result_20260611!$1:$1,0)))</f>
        <v>0</v>
      </c>
      <c r="L19">
        <f>SUMIF(result_20260611!$B:$B,sum_pos_20260611!$A19,INDEX(result_20260611!$A:$Z,0,MATCH(sum_pos_20260611!L$1,result_20260611!$1:$1,0)))</f>
        <v>3</v>
      </c>
      <c r="M19">
        <f>SUMIF(result_20260611!$B:$B,sum_pos_20260611!$A19,INDEX(result_20260611!$A:$Z,0,MATCH(sum_pos_20260611!M$1,result_20260611!$1:$1,0)))</f>
        <v>3</v>
      </c>
      <c r="N19">
        <f>SUMIF(result_20260611!$B:$B,sum_pos_20260611!$A19,INDEX(result_20260611!$A:$Z,0,MATCH(sum_pos_20260611!N$1,result_20260611!$1:$1,0)))</f>
        <v>1</v>
      </c>
      <c r="O19">
        <f t="shared" si="4"/>
        <v>24</v>
      </c>
      <c r="P19" s="8">
        <f t="shared" si="5"/>
        <v>0.66666666666666663</v>
      </c>
    </row>
    <row r="20" spans="1:16">
      <c r="A20" t="s">
        <v>14</v>
      </c>
      <c r="B20">
        <f>SUMIF(result_20260611!$B:$B,sum_pos_20260611!$A20,INDEX(result_20260611!$A:$Z,0,MATCH(sum_pos_20260611!B$1,result_20260611!$1:$1,0)))</f>
        <v>6</v>
      </c>
      <c r="C20">
        <f>SUMIF(result_20260611!$B:$B,sum_pos_20260611!$A20,INDEX(result_20260611!$A:$Z,0,MATCH(sum_pos_20260611!C$1,result_20260611!$1:$1,0)))</f>
        <v>10</v>
      </c>
      <c r="D20">
        <f>SUMIF(result_20260611!$B:$B,sum_pos_20260611!$A20,INDEX(result_20260611!$A:$Z,0,MATCH(sum_pos_20260611!D$1,result_20260611!$1:$1,0)))</f>
        <v>0</v>
      </c>
      <c r="E20">
        <f>SUMIF(result_20260611!$B:$B,sum_pos_20260611!$A20,INDEX(result_20260611!$A:$Z,0,MATCH(sum_pos_20260611!E$1,result_20260611!$1:$1,0)))</f>
        <v>8</v>
      </c>
      <c r="F20">
        <f>SUMIF(result_20260611!$B:$B,sum_pos_20260611!$A20,INDEX(result_20260611!$A:$Z,0,MATCH(sum_pos_20260611!F$1,result_20260611!$1:$1,0)))</f>
        <v>0</v>
      </c>
      <c r="G20">
        <f>SUMIF(result_20260611!$B:$B,sum_pos_20260611!$A20,INDEX(result_20260611!$A:$Z,0,MATCH(sum_pos_20260611!G$1,result_20260611!$1:$1,0)))</f>
        <v>3</v>
      </c>
      <c r="H20">
        <f>SUMIF(result_20260611!$B:$B,sum_pos_20260611!$A20,INDEX(result_20260611!$A:$Z,0,MATCH(sum_pos_20260611!H$1,result_20260611!$1:$1,0)))</f>
        <v>1</v>
      </c>
      <c r="I20">
        <f>SUMIF(result_20260611!$B:$B,sum_pos_20260611!$A20,INDEX(result_20260611!$A:$Z,0,MATCH(sum_pos_20260611!I$1,result_20260611!$1:$1,0)))</f>
        <v>0</v>
      </c>
      <c r="J20">
        <f>SUMIF(result_20260611!$B:$B,sum_pos_20260611!$A20,INDEX(result_20260611!$A:$Z,0,MATCH(sum_pos_20260611!J$1,result_20260611!$1:$1,0)))</f>
        <v>5</v>
      </c>
      <c r="K20">
        <f>SUMIF(result_20260611!$B:$B,sum_pos_20260611!$A20,INDEX(result_20260611!$A:$Z,0,MATCH(sum_pos_20260611!K$1,result_20260611!$1:$1,0)))</f>
        <v>0</v>
      </c>
      <c r="L20">
        <f>SUMIF(result_20260611!$B:$B,sum_pos_20260611!$A20,INDEX(result_20260611!$A:$Z,0,MATCH(sum_pos_20260611!L$1,result_20260611!$1:$1,0)))</f>
        <v>0</v>
      </c>
      <c r="M20">
        <f>SUMIF(result_20260611!$B:$B,sum_pos_20260611!$A20,INDEX(result_20260611!$A:$Z,0,MATCH(sum_pos_20260611!M$1,result_20260611!$1:$1,0)))</f>
        <v>5</v>
      </c>
      <c r="N20">
        <f>SUMIF(result_20260611!$B:$B,sum_pos_20260611!$A20,INDEX(result_20260611!$A:$Z,0,MATCH(sum_pos_20260611!N$1,result_20260611!$1:$1,0)))</f>
        <v>4</v>
      </c>
      <c r="O20">
        <f t="shared" si="4"/>
        <v>24</v>
      </c>
      <c r="P20" s="8">
        <f t="shared" si="5"/>
        <v>0.66666666666666663</v>
      </c>
    </row>
    <row r="21" spans="1:16">
      <c r="A21" s="24" t="s">
        <v>35</v>
      </c>
      <c r="B21" s="24">
        <f t="shared" ref="B21:O21" si="6">SUM(B15:B20)</f>
        <v>54</v>
      </c>
      <c r="C21" s="24">
        <f t="shared" si="6"/>
        <v>57</v>
      </c>
      <c r="D21" s="24">
        <f t="shared" si="6"/>
        <v>0</v>
      </c>
      <c r="E21" s="24">
        <f t="shared" si="6"/>
        <v>33</v>
      </c>
      <c r="F21" s="24">
        <f t="shared" si="6"/>
        <v>0</v>
      </c>
      <c r="G21" s="24">
        <f t="shared" si="6"/>
        <v>7</v>
      </c>
      <c r="H21" s="24">
        <f t="shared" si="6"/>
        <v>15</v>
      </c>
      <c r="I21" s="24">
        <f t="shared" si="6"/>
        <v>1</v>
      </c>
      <c r="J21" s="24">
        <f t="shared" si="6"/>
        <v>26</v>
      </c>
      <c r="K21" s="24">
        <f t="shared" si="6"/>
        <v>0</v>
      </c>
      <c r="L21" s="24">
        <f t="shared" si="6"/>
        <v>11</v>
      </c>
      <c r="M21" s="24">
        <f t="shared" si="6"/>
        <v>14</v>
      </c>
      <c r="N21" s="24">
        <f t="shared" si="6"/>
        <v>16</v>
      </c>
      <c r="O21" s="24">
        <f t="shared" si="6"/>
        <v>144</v>
      </c>
      <c r="P21" s="25">
        <f t="shared" ref="P21" si="7">SUM(B21+C21)/O21</f>
        <v>0.77083333333333337</v>
      </c>
    </row>
  </sheetData>
  <phoneticPr fontId="1" type="noConversion"/>
  <conditionalFormatting sqref="P2:P1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5:P2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435AA-845C-483A-B5EE-3DD22E6E4A30}">
  <sheetPr>
    <tabColor theme="9" tint="0.79998168889431442"/>
  </sheetPr>
  <dimension ref="A1:R26"/>
  <sheetViews>
    <sheetView workbookViewId="0">
      <selection activeCell="A8" sqref="A8"/>
    </sheetView>
  </sheetViews>
  <sheetFormatPr defaultRowHeight="14.25"/>
  <cols>
    <col min="1" max="1" width="49" customWidth="1"/>
    <col min="2" max="2" width="8.25" customWidth="1"/>
    <col min="3" max="3" width="11.25" style="8" bestFit="1" customWidth="1"/>
    <col min="5" max="5" width="2.5" customWidth="1"/>
    <col min="6" max="12" width="10" customWidth="1"/>
    <col min="13" max="17" width="9" style="8"/>
  </cols>
  <sheetData>
    <row r="1" spans="1:18">
      <c r="A1" s="24" t="s">
        <v>39</v>
      </c>
      <c r="B1" s="24" t="s">
        <v>41</v>
      </c>
      <c r="C1" s="25" t="s">
        <v>40</v>
      </c>
      <c r="F1" t="s">
        <v>4</v>
      </c>
      <c r="G1" t="s">
        <v>37</v>
      </c>
      <c r="H1" s="73" t="s">
        <v>82</v>
      </c>
      <c r="I1" s="74" t="s">
        <v>83</v>
      </c>
      <c r="J1" s="74" t="s">
        <v>84</v>
      </c>
      <c r="K1" s="74" t="s">
        <v>85</v>
      </c>
      <c r="L1" s="75" t="s">
        <v>92</v>
      </c>
      <c r="M1" s="59" t="s">
        <v>87</v>
      </c>
      <c r="N1" s="60" t="s">
        <v>88</v>
      </c>
      <c r="O1" s="61" t="s">
        <v>89</v>
      </c>
      <c r="P1" s="62" t="s">
        <v>90</v>
      </c>
      <c r="Q1" s="63" t="s">
        <v>91</v>
      </c>
      <c r="R1" t="s">
        <v>86</v>
      </c>
    </row>
    <row r="2" spans="1:18">
      <c r="A2" s="57" t="s">
        <v>62</v>
      </c>
      <c r="B2">
        <f>result_20260611!I164</f>
        <v>1</v>
      </c>
      <c r="C2" s="8">
        <f t="shared" ref="C2:C10" si="0">B2/$B$20</f>
        <v>9.6153846153846159E-3</v>
      </c>
      <c r="F2">
        <v>1</v>
      </c>
      <c r="G2" cm="1">
        <f t="array" ref="G2">SUMPRODUCT((result_20260611!$A$2:$A$200=sum_fail_20260611!$F2)*result_20260611!$I$2:$Q$200)</f>
        <v>13</v>
      </c>
      <c r="H2" s="76" cm="1">
        <f t="array" ref="H2">SUMPRODUCT((result_20260611!$A$2:$A$200=sum_fail_20260611!$F2)*result_20260611!$I$2:$I$200)</f>
        <v>1</v>
      </c>
      <c r="I2" cm="1">
        <f t="array" ref="I2">SUMPRODUCT((result_20260611!$A$2:$A$200=sum_fail_20260611!$F2)*result_20260611!$J$2:$J$200)</f>
        <v>0</v>
      </c>
      <c r="J2" cm="1">
        <f t="array" ref="J2">SUMPRODUCT((result_20260611!$A$2:$A$200=sum_fail_20260611!$F2)*result_20260611!$K$2:$L$200)</f>
        <v>0</v>
      </c>
      <c r="K2" cm="1">
        <f t="array" ref="K2">SUMPRODUCT((result_20260611!$A$2:$A$200=sum_fail_20260611!$F2)*result_20260611!$M$2:$M$200)</f>
        <v>0</v>
      </c>
      <c r="L2" s="77" cm="1">
        <f t="array" ref="L2">SUMPRODUCT((result_20260611!$A$2:$A$200=sum_fail_20260611!$F2)*result_20260611!$N$2:$Q$200)</f>
        <v>12</v>
      </c>
      <c r="M2" s="64">
        <f>H2/$G2</f>
        <v>7.6923076923076927E-2</v>
      </c>
      <c r="N2" s="65">
        <f t="shared" ref="N2:Q9" si="1">I2/$G2</f>
        <v>0</v>
      </c>
      <c r="O2" s="66">
        <f t="shared" si="1"/>
        <v>0</v>
      </c>
      <c r="P2" s="67">
        <f t="shared" si="1"/>
        <v>0</v>
      </c>
      <c r="Q2" s="83">
        <f t="shared" si="1"/>
        <v>0.92307692307692313</v>
      </c>
      <c r="R2" t="s">
        <v>92</v>
      </c>
    </row>
    <row r="3" spans="1:18">
      <c r="A3" s="54" t="s">
        <v>1</v>
      </c>
      <c r="B3">
        <f>result_20260611!J164</f>
        <v>7</v>
      </c>
      <c r="C3" s="8">
        <f t="shared" si="0"/>
        <v>6.7307692307692304E-2</v>
      </c>
      <c r="F3">
        <v>2</v>
      </c>
      <c r="G3" cm="1">
        <f t="array" ref="G3">SUMPRODUCT((result_20260611!$A$2:$A$200=sum_fail_20260611!$F3)*result_20260611!$I$2:$Q$200)</f>
        <v>27</v>
      </c>
      <c r="H3" s="76" cm="1">
        <f t="array" ref="H3">SUMPRODUCT((result_20260611!$A$2:$A$200=sum_fail_20260611!$F3)*result_20260611!$I$2:$I$200)</f>
        <v>0</v>
      </c>
      <c r="I3" cm="1">
        <f t="array" ref="I3">SUMPRODUCT((result_20260611!$A$2:$A$200=sum_fail_20260611!$F3)*result_20260611!$J$2:$J$200)</f>
        <v>0</v>
      </c>
      <c r="J3" cm="1">
        <f t="array" ref="J3">SUMPRODUCT((result_20260611!$A$2:$A$200=sum_fail_20260611!$F3)*result_20260611!$K$2:$L$200)</f>
        <v>0</v>
      </c>
      <c r="K3" cm="1">
        <f t="array" ref="K3">SUMPRODUCT((result_20260611!$A$2:$A$200=sum_fail_20260611!$F3)*result_20260611!$M$2:$M$200)</f>
        <v>0</v>
      </c>
      <c r="L3" s="77" cm="1">
        <f t="array" ref="L3">SUMPRODUCT((result_20260611!$A$2:$A$200=sum_fail_20260611!$F3)*result_20260611!$N$2:$Q$200)</f>
        <v>27</v>
      </c>
      <c r="M3" s="64">
        <f t="shared" ref="M3:M9" si="2">H3/$G3</f>
        <v>0</v>
      </c>
      <c r="N3" s="65">
        <f t="shared" si="1"/>
        <v>0</v>
      </c>
      <c r="O3" s="66">
        <f t="shared" si="1"/>
        <v>0</v>
      </c>
      <c r="P3" s="67">
        <f t="shared" si="1"/>
        <v>0</v>
      </c>
      <c r="Q3" s="83">
        <f t="shared" si="1"/>
        <v>1</v>
      </c>
      <c r="R3" t="s">
        <v>92</v>
      </c>
    </row>
    <row r="4" spans="1:18">
      <c r="A4" s="55" t="s">
        <v>23</v>
      </c>
      <c r="B4">
        <f>result_20260611!K164</f>
        <v>11</v>
      </c>
      <c r="C4" s="8">
        <f t="shared" si="0"/>
        <v>0.10576923076923077</v>
      </c>
      <c r="F4">
        <v>3</v>
      </c>
      <c r="G4" cm="1">
        <f t="array" ref="G4">SUMPRODUCT((result_20260611!$A$2:$A$200=sum_fail_20260611!$F4)*result_20260611!$I$2:$Q$200)</f>
        <v>18</v>
      </c>
      <c r="H4" s="76" cm="1">
        <f t="array" ref="H4">SUMPRODUCT((result_20260611!$A$2:$A$200=sum_fail_20260611!$F4)*result_20260611!$I$2:$I$200)</f>
        <v>0</v>
      </c>
      <c r="I4" cm="1">
        <f t="array" ref="I4">SUMPRODUCT((result_20260611!$A$2:$A$200=sum_fail_20260611!$F4)*result_20260611!$J$2:$J$200)</f>
        <v>3</v>
      </c>
      <c r="J4" cm="1">
        <f t="array" ref="J4">SUMPRODUCT((result_20260611!$A$2:$A$200=sum_fail_20260611!$F4)*result_20260611!$K$2:$L$200)</f>
        <v>15</v>
      </c>
      <c r="K4" cm="1">
        <f t="array" ref="K4">SUMPRODUCT((result_20260611!$A$2:$A$200=sum_fail_20260611!$F4)*result_20260611!$M$2:$M$200)</f>
        <v>0</v>
      </c>
      <c r="L4" s="77" cm="1">
        <f t="array" ref="L4">SUMPRODUCT((result_20260611!$A$2:$A$200=sum_fail_20260611!$F4)*result_20260611!$N$2:$Q$200)</f>
        <v>0</v>
      </c>
      <c r="M4" s="64">
        <f t="shared" si="2"/>
        <v>0</v>
      </c>
      <c r="N4" s="65">
        <f t="shared" si="1"/>
        <v>0.16666666666666666</v>
      </c>
      <c r="O4" s="82">
        <f t="shared" si="1"/>
        <v>0.83333333333333337</v>
      </c>
      <c r="P4" s="67">
        <f t="shared" si="1"/>
        <v>0</v>
      </c>
      <c r="Q4" s="68">
        <f t="shared" si="1"/>
        <v>0</v>
      </c>
      <c r="R4" t="s">
        <v>84</v>
      </c>
    </row>
    <row r="5" spans="1:18">
      <c r="A5" s="55" t="s">
        <v>71</v>
      </c>
      <c r="B5">
        <f>result_20260611!L164</f>
        <v>14</v>
      </c>
      <c r="C5" s="8">
        <f t="shared" si="0"/>
        <v>0.13461538461538461</v>
      </c>
      <c r="F5">
        <v>4</v>
      </c>
      <c r="G5" cm="1">
        <f t="array" ref="G5">SUMPRODUCT((result_20260611!$A$2:$A$200=sum_fail_20260611!$F5)*result_20260611!$I$2:$Q$200)</f>
        <v>8</v>
      </c>
      <c r="H5" s="76" cm="1">
        <f t="array" ref="H5">SUMPRODUCT((result_20260611!$A$2:$A$200=sum_fail_20260611!$F5)*result_20260611!$I$2:$I$200)</f>
        <v>0</v>
      </c>
      <c r="I5" cm="1">
        <f t="array" ref="I5">SUMPRODUCT((result_20260611!$A$2:$A$200=sum_fail_20260611!$F5)*result_20260611!$J$2:$J$200)</f>
        <v>2</v>
      </c>
      <c r="J5" cm="1">
        <f t="array" ref="J5">SUMPRODUCT((result_20260611!$A$2:$A$200=sum_fail_20260611!$F5)*result_20260611!$K$2:$L$200)</f>
        <v>1</v>
      </c>
      <c r="K5" cm="1">
        <f t="array" ref="K5">SUMPRODUCT((result_20260611!$A$2:$A$200=sum_fail_20260611!$F5)*result_20260611!$M$2:$M$200)</f>
        <v>0</v>
      </c>
      <c r="L5" s="77" cm="1">
        <f t="array" ref="L5">SUMPRODUCT((result_20260611!$A$2:$A$200=sum_fail_20260611!$F5)*result_20260611!$N$2:$Q$200)</f>
        <v>5</v>
      </c>
      <c r="M5" s="64">
        <f t="shared" si="2"/>
        <v>0</v>
      </c>
      <c r="N5" s="65">
        <f t="shared" si="1"/>
        <v>0.25</v>
      </c>
      <c r="O5" s="66">
        <f t="shared" si="1"/>
        <v>0.125</v>
      </c>
      <c r="P5" s="67">
        <f t="shared" si="1"/>
        <v>0</v>
      </c>
      <c r="Q5" s="83">
        <f t="shared" si="1"/>
        <v>0.625</v>
      </c>
      <c r="R5" t="s">
        <v>92</v>
      </c>
    </row>
    <row r="6" spans="1:18">
      <c r="A6" s="56" t="s">
        <v>18</v>
      </c>
      <c r="B6">
        <f>result_20260611!M164</f>
        <v>0</v>
      </c>
      <c r="C6" s="8">
        <f t="shared" si="0"/>
        <v>0</v>
      </c>
      <c r="F6">
        <v>5</v>
      </c>
      <c r="G6" cm="1">
        <f t="array" ref="G6">SUMPRODUCT((result_20260611!$A$2:$A$200=sum_fail_20260611!$F6)*result_20260611!$I$2:$Q$200)</f>
        <v>5</v>
      </c>
      <c r="H6" s="76" cm="1">
        <f t="array" ref="H6">SUMPRODUCT((result_20260611!$A$2:$A$200=sum_fail_20260611!$F6)*result_20260611!$I$2:$I$200)</f>
        <v>0</v>
      </c>
      <c r="I6" cm="1">
        <f t="array" ref="I6">SUMPRODUCT((result_20260611!$A$2:$A$200=sum_fail_20260611!$F6)*result_20260611!$J$2:$J$200)</f>
        <v>1</v>
      </c>
      <c r="J6" cm="1">
        <f t="array" ref="J6">SUMPRODUCT((result_20260611!$A$2:$A$200=sum_fail_20260611!$F6)*result_20260611!$K$2:$L$200)</f>
        <v>0</v>
      </c>
      <c r="K6" cm="1">
        <f t="array" ref="K6">SUMPRODUCT((result_20260611!$A$2:$A$200=sum_fail_20260611!$F6)*result_20260611!$M$2:$M$200)</f>
        <v>0</v>
      </c>
      <c r="L6" s="77" cm="1">
        <f t="array" ref="L6">SUMPRODUCT((result_20260611!$A$2:$A$200=sum_fail_20260611!$F6)*result_20260611!$N$2:$Q$200)</f>
        <v>4</v>
      </c>
      <c r="M6" s="64">
        <f t="shared" si="2"/>
        <v>0</v>
      </c>
      <c r="N6" s="65">
        <f t="shared" si="1"/>
        <v>0.2</v>
      </c>
      <c r="O6" s="66">
        <f t="shared" si="1"/>
        <v>0</v>
      </c>
      <c r="P6" s="67">
        <f t="shared" si="1"/>
        <v>0</v>
      </c>
      <c r="Q6" s="83">
        <f t="shared" si="1"/>
        <v>0.8</v>
      </c>
      <c r="R6" t="s">
        <v>92</v>
      </c>
    </row>
    <row r="7" spans="1:18">
      <c r="A7" s="26" t="s">
        <v>69</v>
      </c>
      <c r="B7">
        <f>result_20260611!N164</f>
        <v>3</v>
      </c>
      <c r="C7" s="8">
        <f t="shared" si="0"/>
        <v>2.8846153846153848E-2</v>
      </c>
      <c r="F7">
        <v>6</v>
      </c>
      <c r="G7" cm="1">
        <f t="array" ref="G7">SUMPRODUCT((result_20260611!$A$2:$A$200=sum_fail_20260611!$F7)*result_20260611!$I$2:$Q$200)</f>
        <v>6</v>
      </c>
      <c r="H7" s="76" cm="1">
        <f t="array" ref="H7">SUMPRODUCT((result_20260611!$A$2:$A$200=sum_fail_20260611!$F7)*result_20260611!$I$2:$I$200)</f>
        <v>0</v>
      </c>
      <c r="I7" cm="1">
        <f t="array" ref="I7">SUMPRODUCT((result_20260611!$A$2:$A$200=sum_fail_20260611!$F7)*result_20260611!$J$2:$J$200)</f>
        <v>0</v>
      </c>
      <c r="J7" cm="1">
        <f t="array" ref="J7">SUMPRODUCT((result_20260611!$A$2:$A$200=sum_fail_20260611!$F7)*result_20260611!$K$2:$L$200)</f>
        <v>0</v>
      </c>
      <c r="K7" cm="1">
        <f t="array" ref="K7">SUMPRODUCT((result_20260611!$A$2:$A$200=sum_fail_20260611!$F7)*result_20260611!$M$2:$M$200)</f>
        <v>0</v>
      </c>
      <c r="L7" s="77" cm="1">
        <f t="array" ref="L7">SUMPRODUCT((result_20260611!$A$2:$A$200=sum_fail_20260611!$F7)*result_20260611!$N$2:$Q$200)</f>
        <v>6</v>
      </c>
      <c r="M7" s="64">
        <f t="shared" si="2"/>
        <v>0</v>
      </c>
      <c r="N7" s="65">
        <f t="shared" si="1"/>
        <v>0</v>
      </c>
      <c r="O7" s="66">
        <f t="shared" si="1"/>
        <v>0</v>
      </c>
      <c r="P7" s="67">
        <f t="shared" si="1"/>
        <v>0</v>
      </c>
      <c r="Q7" s="83">
        <f t="shared" si="1"/>
        <v>1</v>
      </c>
      <c r="R7" t="s">
        <v>92</v>
      </c>
    </row>
    <row r="8" spans="1:18">
      <c r="A8" s="26" t="s">
        <v>68</v>
      </c>
      <c r="B8">
        <f>result_20260611!O164</f>
        <v>15</v>
      </c>
      <c r="C8" s="8">
        <f t="shared" si="0"/>
        <v>0.14423076923076922</v>
      </c>
      <c r="F8">
        <v>7</v>
      </c>
      <c r="G8" cm="1">
        <f t="array" ref="G8">SUMPRODUCT((result_20260611!$A$2:$A$200=sum_fail_20260611!$F8)*result_20260611!$I$2:$Q$200)</f>
        <v>12</v>
      </c>
      <c r="H8" s="76" cm="1">
        <f t="array" ref="H8">SUMPRODUCT((result_20260611!$A$2:$A$200=sum_fail_20260611!$F8)*result_20260611!$I$2:$I$200)</f>
        <v>0</v>
      </c>
      <c r="I8" cm="1">
        <f t="array" ref="I8">SUMPRODUCT((result_20260611!$A$2:$A$200=sum_fail_20260611!$F8)*result_20260611!$J$2:$J$200)</f>
        <v>0</v>
      </c>
      <c r="J8" cm="1">
        <f t="array" ref="J8">SUMPRODUCT((result_20260611!$A$2:$A$200=sum_fail_20260611!$F8)*result_20260611!$K$2:$L$200)</f>
        <v>9</v>
      </c>
      <c r="K8" cm="1">
        <f t="array" ref="K8">SUMPRODUCT((result_20260611!$A$2:$A$200=sum_fail_20260611!$F8)*result_20260611!$M$2:$M$200)</f>
        <v>0</v>
      </c>
      <c r="L8" s="77" cm="1">
        <f t="array" ref="L8">SUMPRODUCT((result_20260611!$A$2:$A$200=sum_fail_20260611!$F8)*result_20260611!$N$2:$Q$200)</f>
        <v>3</v>
      </c>
      <c r="M8" s="64">
        <f t="shared" si="2"/>
        <v>0</v>
      </c>
      <c r="N8" s="65">
        <f t="shared" si="1"/>
        <v>0</v>
      </c>
      <c r="O8" s="82">
        <f t="shared" si="1"/>
        <v>0.75</v>
      </c>
      <c r="P8" s="67">
        <f t="shared" si="1"/>
        <v>0</v>
      </c>
      <c r="Q8" s="68">
        <f t="shared" si="1"/>
        <v>0.25</v>
      </c>
      <c r="R8" t="s">
        <v>84</v>
      </c>
    </row>
    <row r="9" spans="1:18">
      <c r="A9" s="26" t="s">
        <v>72</v>
      </c>
      <c r="B9">
        <f>result_20260611!P164</f>
        <v>35</v>
      </c>
      <c r="C9" s="8">
        <f t="shared" si="0"/>
        <v>0.33653846153846156</v>
      </c>
      <c r="F9">
        <v>8</v>
      </c>
      <c r="G9" cm="1">
        <f t="array" ref="G9">SUMPRODUCT((result_20260611!$A$2:$A$200=sum_fail_20260611!$F9)*result_20260611!$I$2:$Q$200)</f>
        <v>16</v>
      </c>
      <c r="H9" s="78" cm="1">
        <f t="array" ref="H9">SUMPRODUCT((result_20260611!$A$2:$A$200=sum_fail_20260611!$F9)*result_20260611!$I$2:$I$200)</f>
        <v>0</v>
      </c>
      <c r="I9" s="79" cm="1">
        <f t="array" ref="I9">SUMPRODUCT((result_20260611!$A$2:$A$200=sum_fail_20260611!$F9)*result_20260611!$J$2:$J$200)</f>
        <v>1</v>
      </c>
      <c r="J9" s="79" cm="1">
        <f t="array" ref="J9">SUMPRODUCT((result_20260611!$A$2:$A$200=sum_fail_20260611!$F9)*result_20260611!$K$2:$L$200)</f>
        <v>0</v>
      </c>
      <c r="K9" s="79" cm="1">
        <f t="array" ref="K9">SUMPRODUCT((result_20260611!$A$2:$A$200=sum_fail_20260611!$F9)*result_20260611!$M$2:$M$200)</f>
        <v>0</v>
      </c>
      <c r="L9" s="80" cm="1">
        <f t="array" ref="L9">SUMPRODUCT((result_20260611!$A$2:$A$200=sum_fail_20260611!$F9)*result_20260611!$N$2:$Q$200)</f>
        <v>15</v>
      </c>
      <c r="M9" s="69">
        <f t="shared" si="2"/>
        <v>0</v>
      </c>
      <c r="N9" s="70">
        <f t="shared" si="1"/>
        <v>6.25E-2</v>
      </c>
      <c r="O9" s="71">
        <f t="shared" si="1"/>
        <v>0</v>
      </c>
      <c r="P9" s="72">
        <f t="shared" si="1"/>
        <v>0</v>
      </c>
      <c r="Q9" s="84">
        <f t="shared" si="1"/>
        <v>0.9375</v>
      </c>
      <c r="R9" t="s">
        <v>92</v>
      </c>
    </row>
    <row r="10" spans="1:18">
      <c r="A10" s="26" t="s">
        <v>70</v>
      </c>
      <c r="B10">
        <f>result_20260611!Q164</f>
        <v>19</v>
      </c>
      <c r="C10" s="8">
        <f t="shared" si="0"/>
        <v>0.18269230769230768</v>
      </c>
      <c r="G10">
        <f>SUM(G2:G9)</f>
        <v>105</v>
      </c>
      <c r="H10">
        <f t="shared" ref="H10:L10" si="3">SUM(H2:H9)</f>
        <v>1</v>
      </c>
      <c r="I10">
        <f t="shared" si="3"/>
        <v>7</v>
      </c>
      <c r="J10">
        <f t="shared" si="3"/>
        <v>25</v>
      </c>
      <c r="K10">
        <f t="shared" si="3"/>
        <v>0</v>
      </c>
      <c r="L10">
        <f t="shared" si="3"/>
        <v>72</v>
      </c>
    </row>
    <row r="14" spans="1:18">
      <c r="A14" t="s">
        <v>0</v>
      </c>
      <c r="B14">
        <f>result_20260611!E164</f>
        <v>58</v>
      </c>
    </row>
    <row r="15" spans="1:18">
      <c r="A15" t="s">
        <v>16</v>
      </c>
      <c r="B15">
        <f>result_20260611!F164</f>
        <v>71</v>
      </c>
    </row>
    <row r="16" spans="1:18">
      <c r="A16" t="s">
        <v>21</v>
      </c>
      <c r="B16">
        <f>result_20260611!G164</f>
        <v>0</v>
      </c>
    </row>
    <row r="17" spans="1:4">
      <c r="A17" t="s">
        <v>17</v>
      </c>
      <c r="B17">
        <f>result_20260611!H164</f>
        <v>33</v>
      </c>
    </row>
    <row r="18" spans="1:4" s="8" customFormat="1">
      <c r="A18" t="s">
        <v>32</v>
      </c>
      <c r="B18">
        <f>SUM(result_20260611!E164:H164)</f>
        <v>162</v>
      </c>
    </row>
    <row r="19" spans="1:4" s="8" customFormat="1">
      <c r="A19" t="s">
        <v>38</v>
      </c>
      <c r="B19">
        <f>SUM(result_20260611!G164:H164)</f>
        <v>33</v>
      </c>
    </row>
    <row r="20" spans="1:4">
      <c r="A20" t="s">
        <v>81</v>
      </c>
      <c r="B20">
        <f>B15+B16+B17</f>
        <v>104</v>
      </c>
    </row>
    <row r="21" spans="1:4">
      <c r="C21" s="8" t="s">
        <v>93</v>
      </c>
      <c r="D21" t="s">
        <v>94</v>
      </c>
    </row>
    <row r="22" spans="1:4">
      <c r="A22" s="53" t="s">
        <v>76</v>
      </c>
      <c r="B22">
        <f>result_20260611!I164</f>
        <v>1</v>
      </c>
      <c r="C22" s="8">
        <f>B22/$B$20</f>
        <v>9.6153846153846159E-3</v>
      </c>
      <c r="D22" s="8">
        <f>B22/$B$19</f>
        <v>3.0303030303030304E-2</v>
      </c>
    </row>
    <row r="23" spans="1:4">
      <c r="A23" s="54" t="s">
        <v>77</v>
      </c>
      <c r="B23">
        <f>result_20260611!J164</f>
        <v>7</v>
      </c>
      <c r="C23" s="8">
        <f>B23/$B$20</f>
        <v>6.7307692307692304E-2</v>
      </c>
      <c r="D23" s="8">
        <f t="shared" ref="D23:D25" si="4">B23/$B$19</f>
        <v>0.21212121212121213</v>
      </c>
    </row>
    <row r="24" spans="1:4">
      <c r="A24" s="55" t="s">
        <v>78</v>
      </c>
      <c r="B24">
        <f>result_20260611!K164+result_20260611!L164</f>
        <v>25</v>
      </c>
      <c r="C24" s="8">
        <f>B24/$B$20</f>
        <v>0.24038461538461539</v>
      </c>
      <c r="D24" s="8">
        <f t="shared" si="4"/>
        <v>0.75757575757575757</v>
      </c>
    </row>
    <row r="25" spans="1:4">
      <c r="A25" s="56" t="s">
        <v>79</v>
      </c>
      <c r="B25">
        <f>result_20260611!M164</f>
        <v>0</v>
      </c>
      <c r="C25" s="8">
        <f>B25/$B$20</f>
        <v>0</v>
      </c>
      <c r="D25" s="8">
        <f t="shared" si="4"/>
        <v>0</v>
      </c>
    </row>
    <row r="26" spans="1:4">
      <c r="A26" s="26" t="s">
        <v>80</v>
      </c>
      <c r="B26">
        <f>result_20260611!N164+result_20260611!O164+result_20260611!P164+result_20260611!Q164</f>
        <v>72</v>
      </c>
      <c r="C26" s="8">
        <f>B26/$B$20</f>
        <v>0.69230769230769229</v>
      </c>
      <c r="D26" s="8"/>
    </row>
  </sheetData>
  <phoneticPr fontId="1" type="noConversion"/>
  <conditionalFormatting sqref="C2:C10">
    <cfRule type="dataBar" priority="3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{F00E0267-8AA7-4A82-9F06-8A12998832EB}</x14:id>
        </ext>
      </extLst>
    </cfRule>
  </conditionalFormatting>
  <conditionalFormatting sqref="C22:C26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{B1152E13-B6C0-4D28-AF46-F12E2FA15859}</x14:id>
        </ext>
      </extLst>
    </cfRule>
  </conditionalFormatting>
  <conditionalFormatting sqref="D22:D25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{2F6B3E0D-02F3-4EDC-872F-A80171D81E60}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00E0267-8AA7-4A82-9F06-8A12998832E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C2:C10</xm:sqref>
        </x14:conditionalFormatting>
        <x14:conditionalFormatting xmlns:xm="http://schemas.microsoft.com/office/excel/2006/main">
          <x14:cfRule type="dataBar" id="{B1152E13-B6C0-4D28-AF46-F12E2FA1585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C22:C26</xm:sqref>
        </x14:conditionalFormatting>
        <x14:conditionalFormatting xmlns:xm="http://schemas.microsoft.com/office/excel/2006/main">
          <x14:cfRule type="dataBar" id="{2F6B3E0D-02F3-4EDC-872F-A80171D81E60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D22:D25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intro_20260622</vt:lpstr>
      <vt:lpstr>result_20260622</vt:lpstr>
      <vt:lpstr>sum_orient_20260622</vt:lpstr>
      <vt:lpstr>sum_pos_20260622</vt:lpstr>
      <vt:lpstr>sum_fail_20260622</vt:lpstr>
      <vt:lpstr>intro_20260605</vt:lpstr>
      <vt:lpstr>result_20260605</vt:lpstr>
      <vt:lpstr>sum_orient_20260605</vt:lpstr>
      <vt:lpstr>sum_pos_20260605</vt:lpstr>
      <vt:lpstr>sum_fail_20260605</vt:lpstr>
      <vt:lpstr>intro_20260611</vt:lpstr>
      <vt:lpstr>result_20260611</vt:lpstr>
      <vt:lpstr>sum_orient_20260611</vt:lpstr>
      <vt:lpstr>sum_pos_20260611</vt:lpstr>
      <vt:lpstr>sum_fail_20260611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Hu, Yimin</dc:creator>
  <cp:lastModifiedBy>Hu, Yimin</cp:lastModifiedBy>
  <dcterms:created xsi:type="dcterms:W3CDTF">2026-05-20T10:28:02Z</dcterms:created>
  <dcterms:modified xsi:type="dcterms:W3CDTF">2026-06-24T15:16:45Z</dcterms:modified>
</cp:coreProperties>
</file>