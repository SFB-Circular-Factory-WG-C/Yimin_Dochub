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Sabi\gogogo\KIT\Abschlussarbeit\"/>
    </mc:Choice>
  </mc:AlternateContent>
  <xr:revisionPtr revIDLastSave="0" documentId="13_ncr:1_{83CE5498-1777-4640-A22B-C2D925A1053B}" xr6:coauthVersionLast="47" xr6:coauthVersionMax="47" xr10:uidLastSave="{00000000-0000-0000-0000-000000000000}"/>
  <bookViews>
    <workbookView xWindow="-120" yWindow="-120" windowWidth="29040" windowHeight="15720" activeTab="5" xr2:uid="{B6222BE5-703D-4CA7-8A0E-616DC73853A6}"/>
  </bookViews>
  <sheets>
    <sheet name="intro_20260526" sheetId="7" r:id="rId1"/>
    <sheet name="result_20260526" sheetId="5" r:id="rId2"/>
    <sheet name="sum_orient_20260526" sheetId="6" r:id="rId3"/>
    <sheet name="sum_pos_20260526" sheetId="8" r:id="rId4"/>
    <sheet name="sum_fail_20260526" sheetId="9" r:id="rId5"/>
    <sheet name="intro_20260605" sheetId="14" r:id="rId6"/>
    <sheet name="result_20260605" sheetId="10" r:id="rId7"/>
    <sheet name="sum_orient_20260605" sheetId="11" r:id="rId8"/>
    <sheet name="sum_pos_20260605" sheetId="12" r:id="rId9"/>
    <sheet name="sum_fail_20260605" sheetId="13" r:id="rId10"/>
  </sheets>
  <definedNames>
    <definedName name="_xlnm._FilterDatabase" localSheetId="1" hidden="1">result_20260526!$A$1:$P$1</definedName>
    <definedName name="_xlnm._FilterDatabase" localSheetId="6" hidden="1">result_20260605!$A$1:$Q$164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" i="14" l="1"/>
  <c r="M19" i="14"/>
  <c r="L19" i="14"/>
  <c r="K19" i="14"/>
  <c r="J19" i="14"/>
  <c r="I19" i="14"/>
  <c r="H19" i="14"/>
  <c r="G19" i="14"/>
  <c r="E25" i="14"/>
  <c r="E23" i="14"/>
  <c r="E21" i="14"/>
  <c r="D25" i="14"/>
  <c r="D23" i="14"/>
  <c r="D21" i="14"/>
  <c r="C25" i="14"/>
  <c r="C23" i="14"/>
  <c r="C21" i="14"/>
  <c r="C6" i="13"/>
  <c r="B19" i="13"/>
  <c r="B18" i="13"/>
  <c r="B17" i="13"/>
  <c r="B16" i="13"/>
  <c r="B15" i="13"/>
  <c r="B14" i="13"/>
  <c r="B10" i="13"/>
  <c r="B9" i="13"/>
  <c r="B8" i="13"/>
  <c r="B7" i="13"/>
  <c r="B6" i="13"/>
  <c r="B5" i="13"/>
  <c r="B4" i="13"/>
  <c r="B3" i="13"/>
  <c r="C11" i="8"/>
  <c r="D11" i="8"/>
  <c r="E11" i="8"/>
  <c r="F11" i="8"/>
  <c r="G11" i="8"/>
  <c r="H11" i="8"/>
  <c r="I11" i="8"/>
  <c r="J11" i="8"/>
  <c r="K11" i="8"/>
  <c r="L11" i="8"/>
  <c r="M11" i="8"/>
  <c r="N11" i="8"/>
  <c r="B11" i="8"/>
  <c r="B3" i="12"/>
  <c r="C3" i="12"/>
  <c r="D3" i="12"/>
  <c r="E3" i="12"/>
  <c r="F3" i="12"/>
  <c r="G3" i="12"/>
  <c r="H3" i="12"/>
  <c r="I3" i="12"/>
  <c r="J3" i="12"/>
  <c r="K3" i="12"/>
  <c r="L3" i="12"/>
  <c r="M3" i="12"/>
  <c r="N3" i="12"/>
  <c r="B4" i="12"/>
  <c r="C4" i="12"/>
  <c r="D4" i="12"/>
  <c r="E4" i="12"/>
  <c r="F4" i="12"/>
  <c r="G4" i="12"/>
  <c r="H4" i="12"/>
  <c r="I4" i="12"/>
  <c r="J4" i="12"/>
  <c r="K4" i="12"/>
  <c r="L4" i="12"/>
  <c r="M4" i="12"/>
  <c r="N4" i="12"/>
  <c r="B5" i="12"/>
  <c r="C5" i="12"/>
  <c r="D5" i="12"/>
  <c r="E5" i="12"/>
  <c r="F5" i="12"/>
  <c r="G5" i="12"/>
  <c r="H5" i="12"/>
  <c r="I5" i="12"/>
  <c r="J5" i="12"/>
  <c r="K5" i="12"/>
  <c r="L5" i="12"/>
  <c r="M5" i="12"/>
  <c r="N5" i="12"/>
  <c r="B6" i="12"/>
  <c r="C6" i="12"/>
  <c r="D6" i="12"/>
  <c r="E6" i="12"/>
  <c r="F6" i="12"/>
  <c r="G6" i="12"/>
  <c r="H6" i="12"/>
  <c r="I6" i="12"/>
  <c r="J6" i="12"/>
  <c r="K6" i="12"/>
  <c r="L6" i="12"/>
  <c r="M6" i="12"/>
  <c r="N6" i="12"/>
  <c r="B7" i="12"/>
  <c r="C7" i="12"/>
  <c r="C11" i="12" s="1"/>
  <c r="D7" i="12"/>
  <c r="E7" i="12"/>
  <c r="F7" i="12"/>
  <c r="G7" i="12"/>
  <c r="H7" i="12"/>
  <c r="I7" i="12"/>
  <c r="J7" i="12"/>
  <c r="K7" i="12"/>
  <c r="L7" i="12"/>
  <c r="M7" i="12"/>
  <c r="N7" i="12"/>
  <c r="B8" i="12"/>
  <c r="C8" i="12"/>
  <c r="D8" i="12"/>
  <c r="E8" i="12"/>
  <c r="F8" i="12"/>
  <c r="G8" i="12"/>
  <c r="H8" i="12"/>
  <c r="I8" i="12"/>
  <c r="J8" i="12"/>
  <c r="K8" i="12"/>
  <c r="L8" i="12"/>
  <c r="M8" i="12"/>
  <c r="N8" i="12"/>
  <c r="B9" i="12"/>
  <c r="C9" i="12"/>
  <c r="D9" i="12"/>
  <c r="E9" i="12"/>
  <c r="F9" i="12"/>
  <c r="G9" i="12"/>
  <c r="H9" i="12"/>
  <c r="I9" i="12"/>
  <c r="J9" i="12"/>
  <c r="K9" i="12"/>
  <c r="L9" i="12"/>
  <c r="M9" i="12"/>
  <c r="N9" i="12"/>
  <c r="B10" i="12"/>
  <c r="C10" i="12"/>
  <c r="D10" i="12"/>
  <c r="E10" i="12"/>
  <c r="F10" i="12"/>
  <c r="G10" i="12"/>
  <c r="H10" i="12"/>
  <c r="I10" i="12"/>
  <c r="J10" i="12"/>
  <c r="K10" i="12"/>
  <c r="L10" i="12"/>
  <c r="M10" i="12"/>
  <c r="N10" i="12"/>
  <c r="J2" i="12"/>
  <c r="J11" i="12" s="1"/>
  <c r="C2" i="12"/>
  <c r="D2" i="12"/>
  <c r="D11" i="12" s="1"/>
  <c r="E2" i="12"/>
  <c r="E11" i="12" s="1"/>
  <c r="F2" i="12"/>
  <c r="F11" i="12" s="1"/>
  <c r="G2" i="12"/>
  <c r="G11" i="12" s="1"/>
  <c r="H2" i="12"/>
  <c r="H11" i="12" s="1"/>
  <c r="I2" i="12"/>
  <c r="I11" i="12" s="1"/>
  <c r="K2" i="12"/>
  <c r="K11" i="12" s="1"/>
  <c r="L2" i="12"/>
  <c r="L11" i="12" s="1"/>
  <c r="M2" i="12"/>
  <c r="M11" i="12" s="1"/>
  <c r="N2" i="12"/>
  <c r="N11" i="12" s="1"/>
  <c r="B2" i="12"/>
  <c r="B11" i="12" s="1"/>
  <c r="G3" i="11"/>
  <c r="H3" i="11"/>
  <c r="I3" i="11"/>
  <c r="J3" i="11"/>
  <c r="K3" i="11"/>
  <c r="L3" i="11"/>
  <c r="M3" i="11"/>
  <c r="N3" i="11"/>
  <c r="G4" i="11"/>
  <c r="H4" i="11"/>
  <c r="I4" i="11"/>
  <c r="J4" i="11"/>
  <c r="K4" i="11"/>
  <c r="L4" i="11"/>
  <c r="M4" i="11"/>
  <c r="N4" i="11"/>
  <c r="G5" i="11"/>
  <c r="H5" i="11"/>
  <c r="I5" i="11"/>
  <c r="J5" i="11"/>
  <c r="K5" i="11"/>
  <c r="L5" i="11"/>
  <c r="M5" i="11"/>
  <c r="N5" i="11"/>
  <c r="G6" i="11"/>
  <c r="H6" i="11"/>
  <c r="I6" i="11"/>
  <c r="J6" i="11"/>
  <c r="K6" i="11"/>
  <c r="L6" i="11"/>
  <c r="M6" i="11"/>
  <c r="N6" i="11"/>
  <c r="G7" i="11"/>
  <c r="H7" i="11"/>
  <c r="I7" i="11"/>
  <c r="J7" i="11"/>
  <c r="K7" i="11"/>
  <c r="L7" i="11"/>
  <c r="M7" i="11"/>
  <c r="N7" i="11"/>
  <c r="G8" i="11"/>
  <c r="H8" i="11"/>
  <c r="I8" i="11"/>
  <c r="J8" i="11"/>
  <c r="K8" i="11"/>
  <c r="L8" i="11"/>
  <c r="M8" i="11"/>
  <c r="N8" i="11"/>
  <c r="G9" i="11"/>
  <c r="H9" i="11"/>
  <c r="I9" i="11"/>
  <c r="J9" i="11"/>
  <c r="K9" i="11"/>
  <c r="L9" i="11"/>
  <c r="M9" i="11"/>
  <c r="N9" i="11"/>
  <c r="J2" i="11"/>
  <c r="F2" i="11"/>
  <c r="G2" i="11"/>
  <c r="H2" i="11"/>
  <c r="I2" i="11"/>
  <c r="K2" i="11"/>
  <c r="L2" i="11"/>
  <c r="M2" i="11"/>
  <c r="N2" i="11"/>
  <c r="B3" i="11"/>
  <c r="C3" i="11"/>
  <c r="D3" i="11"/>
  <c r="E3" i="11"/>
  <c r="B4" i="11"/>
  <c r="C4" i="11"/>
  <c r="D4" i="11"/>
  <c r="E4" i="11"/>
  <c r="B5" i="11"/>
  <c r="C5" i="11"/>
  <c r="D5" i="11"/>
  <c r="E5" i="11"/>
  <c r="B6" i="11"/>
  <c r="C6" i="11"/>
  <c r="D6" i="11"/>
  <c r="E6" i="11"/>
  <c r="B7" i="11"/>
  <c r="C7" i="11"/>
  <c r="D7" i="11"/>
  <c r="E7" i="11"/>
  <c r="B8" i="11"/>
  <c r="C8" i="11"/>
  <c r="D8" i="11"/>
  <c r="E8" i="11"/>
  <c r="B9" i="11"/>
  <c r="C9" i="11"/>
  <c r="D9" i="11"/>
  <c r="E9" i="11"/>
  <c r="C2" i="11"/>
  <c r="D2" i="11"/>
  <c r="E2" i="11"/>
  <c r="B2" i="11"/>
  <c r="F9" i="11"/>
  <c r="F8" i="11"/>
  <c r="F7" i="11"/>
  <c r="F6" i="11"/>
  <c r="F5" i="11"/>
  <c r="F4" i="11"/>
  <c r="F3" i="11"/>
  <c r="M164" i="10"/>
  <c r="Q164" i="10"/>
  <c r="P164" i="10"/>
  <c r="O164" i="10"/>
  <c r="N164" i="10"/>
  <c r="L164" i="10"/>
  <c r="K164" i="10"/>
  <c r="J164" i="10"/>
  <c r="I164" i="10"/>
  <c r="B2" i="13" s="1"/>
  <c r="H164" i="10"/>
  <c r="G164" i="10"/>
  <c r="F164" i="10"/>
  <c r="E164" i="10"/>
  <c r="D163" i="10"/>
  <c r="D162" i="10"/>
  <c r="D161" i="10"/>
  <c r="D160" i="10"/>
  <c r="D159" i="10"/>
  <c r="D158" i="10"/>
  <c r="D157" i="10"/>
  <c r="D156" i="10"/>
  <c r="D155" i="10"/>
  <c r="D154" i="10"/>
  <c r="D153" i="10"/>
  <c r="D152" i="10"/>
  <c r="D151" i="10"/>
  <c r="D150" i="10"/>
  <c r="D149" i="10"/>
  <c r="D148" i="10"/>
  <c r="D147" i="10"/>
  <c r="D146" i="10"/>
  <c r="D145" i="10"/>
  <c r="D144" i="10"/>
  <c r="D143" i="10"/>
  <c r="D142" i="10"/>
  <c r="D141" i="10"/>
  <c r="D140" i="10"/>
  <c r="D139" i="10"/>
  <c r="D138" i="10"/>
  <c r="D137" i="10"/>
  <c r="D136" i="10"/>
  <c r="D135" i="10"/>
  <c r="D134" i="10"/>
  <c r="D133" i="10"/>
  <c r="D132" i="10"/>
  <c r="D131" i="10"/>
  <c r="D130" i="10"/>
  <c r="D129" i="10"/>
  <c r="D128" i="10"/>
  <c r="D127" i="10"/>
  <c r="D126" i="10"/>
  <c r="D125" i="10"/>
  <c r="D124" i="10"/>
  <c r="D123" i="10"/>
  <c r="D122" i="10"/>
  <c r="D121" i="10"/>
  <c r="D120" i="10"/>
  <c r="D119" i="10"/>
  <c r="D118" i="10"/>
  <c r="D117" i="10"/>
  <c r="D116" i="10"/>
  <c r="D115" i="10"/>
  <c r="D114" i="10"/>
  <c r="D113" i="10"/>
  <c r="D112" i="10"/>
  <c r="D111" i="10"/>
  <c r="D110" i="10"/>
  <c r="D109" i="10"/>
  <c r="D108" i="10"/>
  <c r="D107" i="10"/>
  <c r="D106" i="10"/>
  <c r="D105" i="10"/>
  <c r="D104" i="10"/>
  <c r="D103" i="10"/>
  <c r="D102" i="10"/>
  <c r="D101" i="10"/>
  <c r="D100" i="10"/>
  <c r="D99" i="10"/>
  <c r="D98" i="10"/>
  <c r="D97" i="10"/>
  <c r="D96" i="10"/>
  <c r="D95" i="10"/>
  <c r="D94" i="10"/>
  <c r="D93" i="10"/>
  <c r="D92" i="10"/>
  <c r="D91" i="10"/>
  <c r="D90" i="10"/>
  <c r="D89" i="10"/>
  <c r="D88" i="10"/>
  <c r="D87" i="10"/>
  <c r="D86" i="10"/>
  <c r="D85" i="10"/>
  <c r="D84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D69" i="10"/>
  <c r="D68" i="10"/>
  <c r="D67" i="10"/>
  <c r="D66" i="10"/>
  <c r="D65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50" i="10"/>
  <c r="D49" i="10"/>
  <c r="D48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3" i="10"/>
  <c r="D32" i="10"/>
  <c r="D31" i="10"/>
  <c r="D30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D11" i="10"/>
  <c r="D10" i="10"/>
  <c r="D9" i="10"/>
  <c r="D8" i="10"/>
  <c r="D7" i="10"/>
  <c r="D6" i="10"/>
  <c r="D5" i="10"/>
  <c r="D4" i="10"/>
  <c r="D3" i="10"/>
  <c r="D2" i="10"/>
  <c r="M19" i="7"/>
  <c r="C3" i="9"/>
  <c r="C4" i="9"/>
  <c r="C5" i="9"/>
  <c r="C6" i="9"/>
  <c r="C7" i="9"/>
  <c r="C8" i="9"/>
  <c r="C9" i="9"/>
  <c r="C2" i="9"/>
  <c r="B13" i="9"/>
  <c r="B14" i="9"/>
  <c r="B15" i="9"/>
  <c r="B16" i="9"/>
  <c r="B18" i="9"/>
  <c r="B17" i="9"/>
  <c r="B9" i="9"/>
  <c r="B8" i="9"/>
  <c r="B7" i="9"/>
  <c r="B6" i="9"/>
  <c r="B5" i="9"/>
  <c r="B4" i="9"/>
  <c r="B3" i="9"/>
  <c r="B2" i="9"/>
  <c r="F164" i="5"/>
  <c r="G164" i="5"/>
  <c r="H164" i="5"/>
  <c r="I164" i="5"/>
  <c r="J164" i="5"/>
  <c r="K164" i="5"/>
  <c r="L164" i="5"/>
  <c r="M164" i="5"/>
  <c r="N164" i="5"/>
  <c r="O164" i="5"/>
  <c r="P164" i="5"/>
  <c r="E164" i="5"/>
  <c r="F3" i="8"/>
  <c r="G3" i="8"/>
  <c r="H3" i="8"/>
  <c r="I3" i="8"/>
  <c r="J3" i="8"/>
  <c r="K3" i="8"/>
  <c r="L3" i="8"/>
  <c r="M3" i="8"/>
  <c r="F4" i="8"/>
  <c r="G4" i="8"/>
  <c r="H4" i="8"/>
  <c r="I4" i="8"/>
  <c r="J4" i="8"/>
  <c r="K4" i="8"/>
  <c r="L4" i="8"/>
  <c r="M4" i="8"/>
  <c r="F5" i="8"/>
  <c r="G5" i="8"/>
  <c r="H5" i="8"/>
  <c r="I5" i="8"/>
  <c r="J5" i="8"/>
  <c r="K5" i="8"/>
  <c r="L5" i="8"/>
  <c r="M5" i="8"/>
  <c r="F6" i="8"/>
  <c r="G6" i="8"/>
  <c r="H6" i="8"/>
  <c r="I6" i="8"/>
  <c r="J6" i="8"/>
  <c r="K6" i="8"/>
  <c r="L6" i="8"/>
  <c r="M6" i="8"/>
  <c r="F7" i="8"/>
  <c r="G7" i="8"/>
  <c r="H7" i="8"/>
  <c r="I7" i="8"/>
  <c r="J7" i="8"/>
  <c r="K7" i="8"/>
  <c r="L7" i="8"/>
  <c r="M7" i="8"/>
  <c r="F8" i="8"/>
  <c r="G8" i="8"/>
  <c r="H8" i="8"/>
  <c r="I8" i="8"/>
  <c r="J8" i="8"/>
  <c r="K8" i="8"/>
  <c r="L8" i="8"/>
  <c r="M8" i="8"/>
  <c r="F9" i="8"/>
  <c r="G9" i="8"/>
  <c r="H9" i="8"/>
  <c r="I9" i="8"/>
  <c r="J9" i="8"/>
  <c r="K9" i="8"/>
  <c r="L9" i="8"/>
  <c r="M9" i="8"/>
  <c r="F10" i="8"/>
  <c r="G10" i="8"/>
  <c r="H10" i="8"/>
  <c r="I10" i="8"/>
  <c r="J10" i="8"/>
  <c r="K10" i="8"/>
  <c r="L10" i="8"/>
  <c r="M10" i="8"/>
  <c r="F2" i="8"/>
  <c r="G2" i="8"/>
  <c r="H2" i="8"/>
  <c r="I2" i="8"/>
  <c r="J2" i="8"/>
  <c r="K2" i="8"/>
  <c r="L2" i="8"/>
  <c r="M2" i="8"/>
  <c r="B3" i="8"/>
  <c r="C3" i="8"/>
  <c r="D3" i="8"/>
  <c r="E3" i="8"/>
  <c r="B4" i="8"/>
  <c r="C4" i="8"/>
  <c r="D4" i="8"/>
  <c r="E4" i="8"/>
  <c r="B5" i="8"/>
  <c r="C5" i="8"/>
  <c r="D5" i="8"/>
  <c r="E5" i="8"/>
  <c r="B6" i="8"/>
  <c r="C6" i="8"/>
  <c r="D6" i="8"/>
  <c r="E6" i="8"/>
  <c r="B7" i="8"/>
  <c r="C7" i="8"/>
  <c r="D7" i="8"/>
  <c r="E7" i="8"/>
  <c r="B8" i="8"/>
  <c r="C8" i="8"/>
  <c r="D8" i="8"/>
  <c r="E8" i="8"/>
  <c r="B9" i="8"/>
  <c r="C9" i="8"/>
  <c r="D9" i="8"/>
  <c r="E9" i="8"/>
  <c r="B10" i="8"/>
  <c r="C10" i="8"/>
  <c r="D10" i="8"/>
  <c r="E10" i="8"/>
  <c r="C2" i="8"/>
  <c r="D2" i="8"/>
  <c r="E2" i="8"/>
  <c r="B2" i="8"/>
  <c r="B3" i="6"/>
  <c r="C3" i="6"/>
  <c r="D3" i="6"/>
  <c r="E3" i="6"/>
  <c r="F3" i="6"/>
  <c r="G3" i="6"/>
  <c r="H3" i="6"/>
  <c r="I3" i="6"/>
  <c r="J3" i="6"/>
  <c r="K3" i="6"/>
  <c r="L3" i="6"/>
  <c r="M3" i="6"/>
  <c r="B4" i="6"/>
  <c r="C4" i="6"/>
  <c r="D4" i="6"/>
  <c r="E4" i="6"/>
  <c r="F4" i="6"/>
  <c r="G4" i="6"/>
  <c r="H4" i="6"/>
  <c r="I4" i="6"/>
  <c r="J4" i="6"/>
  <c r="K4" i="6"/>
  <c r="L4" i="6"/>
  <c r="M4" i="6"/>
  <c r="B5" i="6"/>
  <c r="C5" i="6"/>
  <c r="D5" i="6"/>
  <c r="E5" i="6"/>
  <c r="F5" i="6"/>
  <c r="G5" i="6"/>
  <c r="H5" i="6"/>
  <c r="I5" i="6"/>
  <c r="J5" i="6"/>
  <c r="K5" i="6"/>
  <c r="L5" i="6"/>
  <c r="M5" i="6"/>
  <c r="B6" i="6"/>
  <c r="C6" i="6"/>
  <c r="D6" i="6"/>
  <c r="E6" i="6"/>
  <c r="F6" i="6"/>
  <c r="G6" i="6"/>
  <c r="H6" i="6"/>
  <c r="I6" i="6"/>
  <c r="J6" i="6"/>
  <c r="K6" i="6"/>
  <c r="L6" i="6"/>
  <c r="M6" i="6"/>
  <c r="B7" i="6"/>
  <c r="C7" i="6"/>
  <c r="D7" i="6"/>
  <c r="E7" i="6"/>
  <c r="F7" i="6"/>
  <c r="G7" i="6"/>
  <c r="H7" i="6"/>
  <c r="I7" i="6"/>
  <c r="J7" i="6"/>
  <c r="K7" i="6"/>
  <c r="L7" i="6"/>
  <c r="M7" i="6"/>
  <c r="B8" i="6"/>
  <c r="C8" i="6"/>
  <c r="D8" i="6"/>
  <c r="E8" i="6"/>
  <c r="F8" i="6"/>
  <c r="G8" i="6"/>
  <c r="H8" i="6"/>
  <c r="I8" i="6"/>
  <c r="J8" i="6"/>
  <c r="K8" i="6"/>
  <c r="L8" i="6"/>
  <c r="M8" i="6"/>
  <c r="B9" i="6"/>
  <c r="C9" i="6"/>
  <c r="D9" i="6"/>
  <c r="E9" i="6"/>
  <c r="F9" i="6"/>
  <c r="G9" i="6"/>
  <c r="H9" i="6"/>
  <c r="I9" i="6"/>
  <c r="J9" i="6"/>
  <c r="K9" i="6"/>
  <c r="L9" i="6"/>
  <c r="M9" i="6"/>
  <c r="D2" i="6"/>
  <c r="E2" i="6"/>
  <c r="F2" i="6"/>
  <c r="G2" i="6"/>
  <c r="H2" i="6"/>
  <c r="I2" i="6"/>
  <c r="J2" i="6"/>
  <c r="K2" i="6"/>
  <c r="L2" i="6"/>
  <c r="M2" i="6"/>
  <c r="B2" i="6"/>
  <c r="C2" i="6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57" i="5"/>
  <c r="D56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30" i="5"/>
  <c r="D29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3" i="5"/>
  <c r="D4" i="5"/>
  <c r="D2" i="5"/>
  <c r="O7" i="11" l="1"/>
  <c r="P7" i="11" s="1"/>
  <c r="C2" i="13"/>
  <c r="C4" i="13"/>
  <c r="C7" i="13"/>
  <c r="C10" i="13"/>
  <c r="C3" i="13"/>
  <c r="C5" i="13"/>
  <c r="C8" i="13"/>
  <c r="C9" i="13"/>
  <c r="O3" i="12"/>
  <c r="P3" i="12" s="1"/>
  <c r="F10" i="11"/>
  <c r="J10" i="11"/>
  <c r="O9" i="12"/>
  <c r="P9" i="12" s="1"/>
  <c r="O7" i="12"/>
  <c r="P7" i="12" s="1"/>
  <c r="O3" i="11"/>
  <c r="P3" i="11" s="1"/>
  <c r="O6" i="12"/>
  <c r="P6" i="12" s="1"/>
  <c r="K10" i="11"/>
  <c r="I10" i="11"/>
  <c r="O2" i="12"/>
  <c r="O10" i="12"/>
  <c r="P10" i="12" s="1"/>
  <c r="H10" i="11"/>
  <c r="G10" i="11"/>
  <c r="O5" i="12"/>
  <c r="P5" i="12" s="1"/>
  <c r="O4" i="12"/>
  <c r="P4" i="12" s="1"/>
  <c r="O8" i="12"/>
  <c r="P8" i="12" s="1"/>
  <c r="E10" i="11"/>
  <c r="O8" i="11"/>
  <c r="P8" i="11" s="1"/>
  <c r="N10" i="11"/>
  <c r="B10" i="11"/>
  <c r="L10" i="11"/>
  <c r="D10" i="11"/>
  <c r="M10" i="11"/>
  <c r="O6" i="11"/>
  <c r="P6" i="11" s="1"/>
  <c r="C10" i="11"/>
  <c r="O9" i="11"/>
  <c r="P9" i="11" s="1"/>
  <c r="O2" i="11"/>
  <c r="P2" i="11"/>
  <c r="O5" i="11"/>
  <c r="P5" i="11" s="1"/>
  <c r="O4" i="11"/>
  <c r="P4" i="11" s="1"/>
  <c r="D10" i="6"/>
  <c r="K10" i="6"/>
  <c r="N3" i="6"/>
  <c r="N4" i="6"/>
  <c r="O4" i="6" s="1"/>
  <c r="I19" i="7" s="1"/>
  <c r="L10" i="6"/>
  <c r="J10" i="6"/>
  <c r="H10" i="6"/>
  <c r="F10" i="6"/>
  <c r="M10" i="6"/>
  <c r="I10" i="6"/>
  <c r="G10" i="6"/>
  <c r="E10" i="6"/>
  <c r="C10" i="6"/>
  <c r="N2" i="6"/>
  <c r="N8" i="6"/>
  <c r="O8" i="6" s="1"/>
  <c r="O3" i="6"/>
  <c r="H19" i="7" s="1"/>
  <c r="N6" i="6"/>
  <c r="O6" i="6" s="1"/>
  <c r="K19" i="7" s="1"/>
  <c r="B10" i="6"/>
  <c r="N7" i="6"/>
  <c r="O7" i="6" s="1"/>
  <c r="L19" i="7" s="1"/>
  <c r="N5" i="6"/>
  <c r="O5" i="6" s="1"/>
  <c r="J19" i="7" s="1"/>
  <c r="N8" i="8"/>
  <c r="O8" i="8" s="1"/>
  <c r="E21" i="7" s="1"/>
  <c r="N7" i="8"/>
  <c r="O7" i="8" s="1"/>
  <c r="D25" i="7" s="1"/>
  <c r="N6" i="8"/>
  <c r="O6" i="8" s="1"/>
  <c r="D23" i="7" s="1"/>
  <c r="N9" i="8"/>
  <c r="O9" i="8" s="1"/>
  <c r="E23" i="7" s="1"/>
  <c r="N4" i="8"/>
  <c r="O4" i="8" s="1"/>
  <c r="C25" i="7" s="1"/>
  <c r="N3" i="8"/>
  <c r="N5" i="8"/>
  <c r="O5" i="8" s="1"/>
  <c r="D21" i="7" s="1"/>
  <c r="N10" i="8"/>
  <c r="O10" i="8" s="1"/>
  <c r="E25" i="7" s="1"/>
  <c r="N2" i="8"/>
  <c r="O2" i="8" s="1"/>
  <c r="C21" i="7" s="1"/>
  <c r="N9" i="6"/>
  <c r="O9" i="6" s="1"/>
  <c r="N19" i="7" s="1"/>
  <c r="P2" i="12" l="1"/>
  <c r="O11" i="12"/>
  <c r="P11" i="12" s="1"/>
  <c r="O10" i="11"/>
  <c r="P10" i="11" s="1"/>
  <c r="O11" i="8"/>
  <c r="O3" i="8"/>
  <c r="C23" i="7" s="1"/>
  <c r="O2" i="6"/>
  <c r="G19" i="7" s="1"/>
  <c r="N10" i="6"/>
  <c r="O10" i="6" s="1"/>
</calcChain>
</file>

<file path=xl/sharedStrings.xml><?xml version="1.0" encoding="utf-8"?>
<sst xmlns="http://schemas.openxmlformats.org/spreadsheetml/2006/main" count="602" uniqueCount="73">
  <si>
    <t>Success</t>
    <phoneticPr fontId="1" type="noConversion"/>
  </si>
  <si>
    <t>No poses generated</t>
    <phoneticPr fontId="1" type="noConversion"/>
  </si>
  <si>
    <t>Gripper stuck in foam</t>
    <phoneticPr fontId="1" type="noConversion"/>
  </si>
  <si>
    <t>Position</t>
    <phoneticPr fontId="1" type="noConversion"/>
  </si>
  <si>
    <t>Orientation</t>
    <phoneticPr fontId="1" type="noConversion"/>
  </si>
  <si>
    <t>Trial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</si>
  <si>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</si>
  <si>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</si>
  <si>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</si>
  <si>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</si>
  <si>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</si>
  <si>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</si>
  <si>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</si>
  <si>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</si>
  <si>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</si>
  <si>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Name</t>
    <phoneticPr fontId="1" type="noConversion"/>
  </si>
  <si>
    <t>Success after intervention</t>
    <phoneticPr fontId="1" type="noConversion"/>
  </si>
  <si>
    <t>Failed</t>
    <phoneticPr fontId="1" type="noConversion"/>
  </si>
  <si>
    <t>Gripper stuck in foam/Grasp too loose</t>
    <phoneticPr fontId="1" type="noConversion"/>
  </si>
  <si>
    <t>Grasp point not good</t>
    <phoneticPr fontId="1" type="noConversion"/>
  </si>
  <si>
    <t>Grasp in opposite direction</t>
    <phoneticPr fontId="1" type="noConversion"/>
  </si>
  <si>
    <t>Object fell during turning around</t>
    <phoneticPr fontId="1" type="noConversion"/>
  </si>
  <si>
    <t>No poses generated because of noise</t>
    <phoneticPr fontId="1" type="noConversion"/>
  </si>
  <si>
    <t>Success if further action were taken</t>
    <phoneticPr fontId="1" type="noConversion"/>
  </si>
  <si>
    <t>Placement not good</t>
    <phoneticPr fontId="1" type="noConversion"/>
  </si>
  <si>
    <t>Possible collision between links</t>
    <phoneticPr fontId="1" type="noConversion"/>
  </si>
  <si>
    <t>ð</t>
    <phoneticPr fontId="1" type="noConversion"/>
  </si>
  <si>
    <t>ï</t>
    <phoneticPr fontId="1" type="noConversion"/>
  </si>
  <si>
    <t>ñ</t>
    <phoneticPr fontId="1" type="noConversion"/>
  </si>
  <si>
    <t>ò</t>
    <phoneticPr fontId="1" type="noConversion"/>
  </si>
  <si>
    <t>ö</t>
    <phoneticPr fontId="1" type="noConversion"/>
  </si>
  <si>
    <t>÷</t>
    <phoneticPr fontId="1" type="noConversion"/>
  </si>
  <si>
    <t>õ</t>
    <phoneticPr fontId="1" type="noConversion"/>
  </si>
  <si>
    <t>ø</t>
    <phoneticPr fontId="1" type="noConversion"/>
  </si>
  <si>
    <t>Trails</t>
    <phoneticPr fontId="1" type="noConversion"/>
  </si>
  <si>
    <t>Trials</t>
    <phoneticPr fontId="1" type="noConversion"/>
  </si>
  <si>
    <t>Success rate(S+PS)</t>
    <phoneticPr fontId="1" type="noConversion"/>
  </si>
  <si>
    <t>SUM</t>
    <phoneticPr fontId="1" type="noConversion"/>
  </si>
  <si>
    <t>UR10e</t>
    <phoneticPr fontId="1" type="noConversion"/>
  </si>
  <si>
    <t>sum</t>
    <phoneticPr fontId="1" type="noConversion"/>
  </si>
  <si>
    <t>Failed trails (PF+F)</t>
    <phoneticPr fontId="1" type="noConversion"/>
  </si>
  <si>
    <t>Failure reason</t>
    <phoneticPr fontId="1" type="noConversion"/>
  </si>
  <si>
    <t>Percentage</t>
    <phoneticPr fontId="1" type="noConversion"/>
  </si>
  <si>
    <t>Count</t>
    <phoneticPr fontId="1" type="noConversion"/>
  </si>
  <si>
    <t>Example</t>
    <phoneticPr fontId="1" type="noConversion"/>
  </si>
  <si>
    <t>26.05.2026</t>
    <phoneticPr fontId="1" type="noConversion"/>
  </si>
  <si>
    <t>(-0.7, 0.0, 0.131)</t>
    <phoneticPr fontId="1" type="noConversion"/>
  </si>
  <si>
    <t>pcd_bound_x</t>
    <phoneticPr fontId="1" type="noConversion"/>
  </si>
  <si>
    <t>(-0.3,0.4)</t>
    <phoneticPr fontId="1" type="noConversion"/>
  </si>
  <si>
    <t>pcd_bound_y</t>
    <phoneticPr fontId="1" type="noConversion"/>
  </si>
  <si>
    <t>(-0.4,0.3)</t>
    <phoneticPr fontId="1" type="noConversion"/>
  </si>
  <si>
    <t>pcd_bound_z</t>
    <phoneticPr fontId="1" type="noConversion"/>
  </si>
  <si>
    <t>(-0.01,0.3)</t>
    <phoneticPr fontId="1" type="noConversion"/>
  </si>
  <si>
    <t>agv_table_center_link
grasp_x_offset, _y_offset, _z_offset</t>
    <phoneticPr fontId="1" type="noConversion"/>
  </si>
  <si>
    <t>graspness_th</t>
    <phoneticPr fontId="1" type="noConversion"/>
  </si>
  <si>
    <t>grasp_height_th</t>
    <phoneticPr fontId="1" type="noConversion"/>
  </si>
  <si>
    <t>grasp_cog_dist_th</t>
    <phoneticPr fontId="1" type="noConversion"/>
  </si>
  <si>
    <t>grasp_cog_min_dist_th</t>
    <phoneticPr fontId="1" type="noConversion"/>
  </si>
  <si>
    <t>cog_axis_projection_th</t>
    <phoneticPr fontId="1" type="noConversion"/>
  </si>
  <si>
    <t>t0_to_tcp joint</t>
    <phoneticPr fontId="1" type="noConversion"/>
  </si>
  <si>
    <t>xyz=(0,0,0.24)</t>
    <phoneticPr fontId="1" type="noConversion"/>
  </si>
  <si>
    <t>reset_pose.position.x</t>
    <phoneticPr fontId="1" type="noConversion"/>
  </si>
  <si>
    <t>reset_pose.position.y</t>
    <phoneticPr fontId="1" type="noConversion"/>
  </si>
  <si>
    <t>reset_pose.position.z</t>
    <phoneticPr fontId="1" type="noConversion"/>
  </si>
  <si>
    <t>reset_pose.orientation.x</t>
    <phoneticPr fontId="1" type="noConversion"/>
  </si>
  <si>
    <t>reset_pose.orientation.y</t>
    <phoneticPr fontId="1" type="noConversion"/>
  </si>
  <si>
    <t>reset_pose.orientation.z</t>
    <phoneticPr fontId="1" type="noConversion"/>
  </si>
  <si>
    <t>reset_pose.orientation.w</t>
    <phoneticPr fontId="1" type="noConversion"/>
  </si>
  <si>
    <t>Grasp too loose</t>
    <phoneticPr fontId="1" type="noConversion"/>
  </si>
  <si>
    <t>Gripper stuck in foam</t>
  </si>
  <si>
    <t>05.06.2026</t>
    <phoneticPr fontId="1" type="noConversion"/>
  </si>
  <si>
    <t>(-0.4,0.4)</t>
    <phoneticPr fontId="1" type="noConversion"/>
  </si>
  <si>
    <t>xyz=(0,0,0.25)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</si>
</sst>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22"/>
      <color theme="1"/>
      <name val="Wingdings"/>
      <charset val="2"/>
    </font>
    <font>
      <b/>
      <sz val="11"/>
      <color theme="1"/>
      <name val="等线"/>
      <scheme val="minor"/>
    </font>
    <font>
      <sz val="8"/>
      <color theme="1"/>
      <name val="等线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53">
    <xf numFmtId="0" fontId="0" fillId="0" borderId="0" xfId="0">
      <alignment vertical="center"/>
    </xf>
    <xf numFmtId="0" fontId="0" fillId="0" borderId="4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0" fontId="0" fillId="0" borderId="0" xfId="0" applyNumberFormat="1">
      <alignment vertical="center"/>
    </xf>
    <xf numFmtId="10" fontId="0" fillId="0" borderId="0" xfId="0" applyNumberFormat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0" fillId="0" borderId="12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10" fontId="0" fillId="0" borderId="16" xfId="0" applyNumberFormat="1" applyBorder="1" applyAlignment="1">
      <alignment horizontal="center" vertical="center"/>
    </xf>
    <xf numFmtId="10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0" fontId="0" fillId="0" borderId="19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0" fontId="0" fillId="0" borderId="6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0" fillId="0" borderId="2" xfId="0" applyNumberFormat="1" applyBorder="1" applyAlignment="1">
      <alignment horizontal="center" vertical="center"/>
    </xf>
    <xf numFmtId="0" fontId="3" fillId="0" borderId="0" xfId="0" applyFont="1">
      <alignment vertical="center"/>
    </xf>
    <xf numFmtId="10" fontId="3" fillId="0" borderId="0" xfId="0" applyNumberFormat="1" applyFont="1">
      <alignment vertical="center"/>
    </xf>
    <xf numFmtId="0" fontId="0" fillId="2" borderId="0" xfId="0" applyFill="1">
      <alignment vertical="center"/>
    </xf>
    <xf numFmtId="0" fontId="0" fillId="2" borderId="13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10" fontId="0" fillId="2" borderId="16" xfId="0" applyNumberFormat="1" applyFill="1" applyBorder="1" applyAlignment="1">
      <alignment horizontal="center" vertical="center"/>
    </xf>
    <xf numFmtId="10" fontId="0" fillId="2" borderId="12" xfId="0" applyNumberFormat="1" applyFill="1" applyBorder="1" applyAlignment="1">
      <alignment horizontal="center" vertical="center"/>
    </xf>
    <xf numFmtId="10" fontId="0" fillId="2" borderId="17" xfId="0" applyNumberFormat="1" applyFill="1" applyBorder="1" applyAlignment="1">
      <alignment horizontal="center" vertical="center"/>
    </xf>
    <xf numFmtId="0" fontId="0" fillId="2" borderId="1" xfId="0" applyFill="1" applyBorder="1">
      <alignment vertical="center"/>
    </xf>
    <xf numFmtId="0" fontId="0" fillId="2" borderId="2" xfId="0" applyFill="1" applyBorder="1">
      <alignment vertical="center"/>
    </xf>
    <xf numFmtId="0" fontId="0" fillId="2" borderId="18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10" fontId="0" fillId="2" borderId="19" xfId="0" applyNumberFormat="1" applyFill="1" applyBorder="1" applyAlignment="1">
      <alignment horizontal="center" vertical="center"/>
    </xf>
    <xf numFmtId="10" fontId="0" fillId="2" borderId="20" xfId="0" applyNumberFormat="1" applyFill="1" applyBorder="1" applyAlignment="1">
      <alignment horizontal="center" vertical="center"/>
    </xf>
    <xf numFmtId="10" fontId="0" fillId="2" borderId="6" xfId="0" applyNumberFormat="1" applyFill="1" applyBorder="1" applyAlignment="1">
      <alignment horizontal="center" vertical="center"/>
    </xf>
    <xf numFmtId="0" fontId="0" fillId="3" borderId="0" xfId="0" applyFill="1">
      <alignment vertical="center"/>
    </xf>
    <xf numFmtId="0" fontId="0" fillId="0" borderId="10" xfId="0" applyBorder="1" applyAlignment="1">
      <alignment vertical="center" wrapText="1"/>
    </xf>
    <xf numFmtId="0" fontId="0" fillId="0" borderId="10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10" xfId="0" applyBorder="1">
      <alignment vertical="center"/>
    </xf>
    <xf numFmtId="0" fontId="4" fillId="0" borderId="10" xfId="0" applyFont="1" applyBorder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Frequent</a:t>
            </a:r>
            <a:r>
              <a:rPr lang="en-US" altLang="zh-CN" baseline="0"/>
              <a:t> failure reasons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0.41858398950131226"/>
          <c:y val="0.18097222222222226"/>
          <c:w val="0.53819378827646547"/>
          <c:h val="0.6153546952464275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sum_fail_20260526!$B$1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sum_fail_20260526!$A$2:$A$9</c:f>
              <c:strCache>
                <c:ptCount val="8"/>
                <c:pt idx="0">
                  <c:v>Grasp point not good</c:v>
                </c:pt>
                <c:pt idx="1">
                  <c:v>No poses generated</c:v>
                </c:pt>
                <c:pt idx="2">
                  <c:v>No poses generated because of noise</c:v>
                </c:pt>
                <c:pt idx="3">
                  <c:v>Gripper stuck in foam/Grasp too loose</c:v>
                </c:pt>
                <c:pt idx="4">
                  <c:v>Grasp in opposite direction</c:v>
                </c:pt>
                <c:pt idx="5">
                  <c:v>Possible collision between links</c:v>
                </c:pt>
                <c:pt idx="6">
                  <c:v>Object fell during turning around</c:v>
                </c:pt>
                <c:pt idx="7">
                  <c:v>Placement not good</c:v>
                </c:pt>
              </c:strCache>
            </c:strRef>
          </c:cat>
          <c:val>
            <c:numRef>
              <c:f>sum_fail_20260526!$B$2:$B$9</c:f>
              <c:numCache>
                <c:formatCode>General</c:formatCode>
                <c:ptCount val="8"/>
                <c:pt idx="0">
                  <c:v>7</c:v>
                </c:pt>
                <c:pt idx="1">
                  <c:v>11</c:v>
                </c:pt>
                <c:pt idx="2">
                  <c:v>3</c:v>
                </c:pt>
                <c:pt idx="3">
                  <c:v>52</c:v>
                </c:pt>
                <c:pt idx="4">
                  <c:v>8</c:v>
                </c:pt>
                <c:pt idx="5">
                  <c:v>12</c:v>
                </c:pt>
                <c:pt idx="6">
                  <c:v>15</c:v>
                </c:pt>
                <c:pt idx="7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5A-4D85-9602-7B4A1AF677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28281264"/>
        <c:axId val="1128274544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sum_fail_20260526!$C$1</c15:sqref>
                        </c15:formulaRef>
                      </c:ext>
                    </c:extLst>
                    <c:strCache>
                      <c:ptCount val="1"/>
                      <c:pt idx="0">
                        <c:v>Percentage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sum_fail_20260526!$A$2:$A$9</c15:sqref>
                        </c15:formulaRef>
                      </c:ext>
                    </c:extLst>
                    <c:strCache>
                      <c:ptCount val="8"/>
                      <c:pt idx="0">
                        <c:v>Grasp point not good</c:v>
                      </c:pt>
                      <c:pt idx="1">
                        <c:v>No poses generated</c:v>
                      </c:pt>
                      <c:pt idx="2">
                        <c:v>No poses generated because of noise</c:v>
                      </c:pt>
                      <c:pt idx="3">
                        <c:v>Gripper stuck in foam/Grasp too loose</c:v>
                      </c:pt>
                      <c:pt idx="4">
                        <c:v>Grasp in opposite direction</c:v>
                      </c:pt>
                      <c:pt idx="5">
                        <c:v>Possible collision between links</c:v>
                      </c:pt>
                      <c:pt idx="6">
                        <c:v>Object fell during turning around</c:v>
                      </c:pt>
                      <c:pt idx="7">
                        <c:v>Placement not good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sum_fail_20260526!$C$2:$C$9</c15:sqref>
                        </c15:formulaRef>
                      </c:ext>
                    </c:extLst>
                    <c:numCache>
                      <c:formatCode>0.00%</c:formatCode>
                      <c:ptCount val="8"/>
                      <c:pt idx="0">
                        <c:v>6.7307692307692304E-2</c:v>
                      </c:pt>
                      <c:pt idx="1">
                        <c:v>0.10576923076923077</c:v>
                      </c:pt>
                      <c:pt idx="2">
                        <c:v>2.8846153846153848E-2</c:v>
                      </c:pt>
                      <c:pt idx="3">
                        <c:v>0.5</c:v>
                      </c:pt>
                      <c:pt idx="4">
                        <c:v>7.6923076923076927E-2</c:v>
                      </c:pt>
                      <c:pt idx="5">
                        <c:v>0.11538461538461539</c:v>
                      </c:pt>
                      <c:pt idx="6">
                        <c:v>0.14423076923076922</c:v>
                      </c:pt>
                      <c:pt idx="7">
                        <c:v>8.6538461538461536E-2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B15A-4D85-9602-7B4A1AF67798}"/>
                  </c:ext>
                </c:extLst>
              </c15:ser>
            </c15:filteredBarSeries>
          </c:ext>
        </c:extLst>
      </c:barChart>
      <c:catAx>
        <c:axId val="11282812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28274544"/>
        <c:crosses val="autoZero"/>
        <c:auto val="1"/>
        <c:lblAlgn val="ctr"/>
        <c:lblOffset val="100"/>
        <c:noMultiLvlLbl val="0"/>
      </c:catAx>
      <c:valAx>
        <c:axId val="11282745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28281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Frequent Failure Reasons</a:t>
            </a:r>
          </a:p>
          <a:p>
            <a:pPr>
              <a:defRPr/>
            </a:pPr>
            <a:endParaRPr lang="en-US" altLang="zh-C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sum_fail_20260605!$B$1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sum_fail_20260605!$A$2:$A$10</c:f>
              <c:strCache>
                <c:ptCount val="9"/>
                <c:pt idx="0">
                  <c:v>Grasp point not good</c:v>
                </c:pt>
                <c:pt idx="1">
                  <c:v>No poses generated</c:v>
                </c:pt>
                <c:pt idx="2">
                  <c:v>No poses generated because of noise</c:v>
                </c:pt>
                <c:pt idx="3">
                  <c:v>Grasp too loose</c:v>
                </c:pt>
                <c:pt idx="4">
                  <c:v>Gripper stuck in foam</c:v>
                </c:pt>
                <c:pt idx="5">
                  <c:v>Grasp in opposite direction</c:v>
                </c:pt>
                <c:pt idx="6">
                  <c:v>Possible collision between links</c:v>
                </c:pt>
                <c:pt idx="7">
                  <c:v>Object fell during turning around</c:v>
                </c:pt>
                <c:pt idx="8">
                  <c:v>Placement not good</c:v>
                </c:pt>
              </c:strCache>
            </c:strRef>
          </c:cat>
          <c:val>
            <c:numRef>
              <c:f>sum_fail_20260605!$B$2:$B$10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70</c:v>
                </c:pt>
                <c:pt idx="4">
                  <c:v>2</c:v>
                </c:pt>
                <c:pt idx="5">
                  <c:v>0</c:v>
                </c:pt>
                <c:pt idx="6">
                  <c:v>14</c:v>
                </c:pt>
                <c:pt idx="7">
                  <c:v>10</c:v>
                </c:pt>
                <c:pt idx="8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16-4BDE-84B9-47AC61CEA0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60082432"/>
        <c:axId val="1160089152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sum_fail_20260605!$C$1</c15:sqref>
                        </c15:formulaRef>
                      </c:ext>
                    </c:extLst>
                    <c:strCache>
                      <c:ptCount val="1"/>
                      <c:pt idx="0">
                        <c:v>Percentage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sum_fail_20260605!$A$2:$A$10</c15:sqref>
                        </c15:formulaRef>
                      </c:ext>
                    </c:extLst>
                    <c:strCache>
                      <c:ptCount val="9"/>
                      <c:pt idx="0">
                        <c:v>Grasp point not good</c:v>
                      </c:pt>
                      <c:pt idx="1">
                        <c:v>No poses generated</c:v>
                      </c:pt>
                      <c:pt idx="2">
                        <c:v>No poses generated because of noise</c:v>
                      </c:pt>
                      <c:pt idx="3">
                        <c:v>Grasp too loose</c:v>
                      </c:pt>
                      <c:pt idx="4">
                        <c:v>Gripper stuck in foam</c:v>
                      </c:pt>
                      <c:pt idx="5">
                        <c:v>Grasp in opposite direction</c:v>
                      </c:pt>
                      <c:pt idx="6">
                        <c:v>Possible collision between links</c:v>
                      </c:pt>
                      <c:pt idx="7">
                        <c:v>Object fell during turning around</c:v>
                      </c:pt>
                      <c:pt idx="8">
                        <c:v>Placement not good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sum_fail_20260605!$C$2:$C$10</c15:sqref>
                        </c15:formulaRef>
                      </c:ext>
                    </c:extLst>
                    <c:numCache>
                      <c:formatCode>0.00%</c:formatCode>
                      <c:ptCount val="9"/>
                      <c:pt idx="0">
                        <c:v>0</c:v>
                      </c:pt>
                      <c:pt idx="1">
                        <c:v>1.0309278350515464E-2</c:v>
                      </c:pt>
                      <c:pt idx="2">
                        <c:v>0</c:v>
                      </c:pt>
                      <c:pt idx="3">
                        <c:v>0.72164948453608246</c:v>
                      </c:pt>
                      <c:pt idx="4">
                        <c:v>2.0618556701030927E-2</c:v>
                      </c:pt>
                      <c:pt idx="5">
                        <c:v>0</c:v>
                      </c:pt>
                      <c:pt idx="6">
                        <c:v>0.14432989690721648</c:v>
                      </c:pt>
                      <c:pt idx="7">
                        <c:v>0.10309278350515463</c:v>
                      </c:pt>
                      <c:pt idx="8">
                        <c:v>6.1855670103092786E-2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5E16-4BDE-84B9-47AC61CEA0FF}"/>
                  </c:ext>
                </c:extLst>
              </c15:ser>
            </c15:filteredBarSeries>
          </c:ext>
        </c:extLst>
      </c:barChart>
      <c:catAx>
        <c:axId val="11600824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60089152"/>
        <c:crosses val="autoZero"/>
        <c:auto val="1"/>
        <c:lblAlgn val="ctr"/>
        <c:lblOffset val="100"/>
        <c:noMultiLvlLbl val="0"/>
      </c:catAx>
      <c:valAx>
        <c:axId val="1160089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60082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sum_fail_20260605!$B$1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sum_fail_20260605!$A$2:$A$10</c:f>
              <c:strCache>
                <c:ptCount val="9"/>
                <c:pt idx="0">
                  <c:v>Grasp point not good</c:v>
                </c:pt>
                <c:pt idx="1">
                  <c:v>No poses generated</c:v>
                </c:pt>
                <c:pt idx="2">
                  <c:v>No poses generated because of noise</c:v>
                </c:pt>
                <c:pt idx="3">
                  <c:v>Grasp too loose</c:v>
                </c:pt>
                <c:pt idx="4">
                  <c:v>Gripper stuck in foam</c:v>
                </c:pt>
                <c:pt idx="5">
                  <c:v>Grasp in opposite direction</c:v>
                </c:pt>
                <c:pt idx="6">
                  <c:v>Possible collision between links</c:v>
                </c:pt>
                <c:pt idx="7">
                  <c:v>Object fell during turning around</c:v>
                </c:pt>
                <c:pt idx="8">
                  <c:v>Placement not good</c:v>
                </c:pt>
              </c:strCache>
            </c:strRef>
          </c:cat>
          <c:val>
            <c:numRef>
              <c:f>sum_fail_20260605!$B$2:$B$10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70</c:v>
                </c:pt>
                <c:pt idx="4">
                  <c:v>2</c:v>
                </c:pt>
                <c:pt idx="5">
                  <c:v>0</c:v>
                </c:pt>
                <c:pt idx="6">
                  <c:v>14</c:v>
                </c:pt>
                <c:pt idx="7">
                  <c:v>10</c:v>
                </c:pt>
                <c:pt idx="8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40-42FF-9C58-EC2115A5AC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60082432"/>
        <c:axId val="1160089152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sum_fail_20260605!$C$1</c15:sqref>
                        </c15:formulaRef>
                      </c:ext>
                    </c:extLst>
                    <c:strCache>
                      <c:ptCount val="1"/>
                      <c:pt idx="0">
                        <c:v>Percentage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sum_fail_20260605!$A$2:$A$10</c15:sqref>
                        </c15:formulaRef>
                      </c:ext>
                    </c:extLst>
                    <c:strCache>
                      <c:ptCount val="9"/>
                      <c:pt idx="0">
                        <c:v>Grasp point not good</c:v>
                      </c:pt>
                      <c:pt idx="1">
                        <c:v>No poses generated</c:v>
                      </c:pt>
                      <c:pt idx="2">
                        <c:v>No poses generated because of noise</c:v>
                      </c:pt>
                      <c:pt idx="3">
                        <c:v>Grasp too loose</c:v>
                      </c:pt>
                      <c:pt idx="4">
                        <c:v>Gripper stuck in foam</c:v>
                      </c:pt>
                      <c:pt idx="5">
                        <c:v>Grasp in opposite direction</c:v>
                      </c:pt>
                      <c:pt idx="6">
                        <c:v>Possible collision between links</c:v>
                      </c:pt>
                      <c:pt idx="7">
                        <c:v>Object fell during turning around</c:v>
                      </c:pt>
                      <c:pt idx="8">
                        <c:v>Placement not good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sum_fail_20260605!$C$2:$C$10</c15:sqref>
                        </c15:formulaRef>
                      </c:ext>
                    </c:extLst>
                    <c:numCache>
                      <c:formatCode>0.00%</c:formatCode>
                      <c:ptCount val="9"/>
                      <c:pt idx="0">
                        <c:v>0</c:v>
                      </c:pt>
                      <c:pt idx="1">
                        <c:v>1.0309278350515464E-2</c:v>
                      </c:pt>
                      <c:pt idx="2">
                        <c:v>0</c:v>
                      </c:pt>
                      <c:pt idx="3">
                        <c:v>0.72164948453608246</c:v>
                      </c:pt>
                      <c:pt idx="4">
                        <c:v>2.0618556701030927E-2</c:v>
                      </c:pt>
                      <c:pt idx="5">
                        <c:v>0</c:v>
                      </c:pt>
                      <c:pt idx="6">
                        <c:v>0.14432989690721648</c:v>
                      </c:pt>
                      <c:pt idx="7">
                        <c:v>0.10309278350515463</c:v>
                      </c:pt>
                      <c:pt idx="8">
                        <c:v>6.1855670103092786E-2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6A40-42FF-9C58-EC2115A5AC58}"/>
                  </c:ext>
                </c:extLst>
              </c15:ser>
            </c15:filteredBarSeries>
          </c:ext>
        </c:extLst>
      </c:barChart>
      <c:catAx>
        <c:axId val="11600824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60089152"/>
        <c:crosses val="autoZero"/>
        <c:auto val="1"/>
        <c:lblAlgn val="ctr"/>
        <c:lblOffset val="100"/>
        <c:noMultiLvlLbl val="0"/>
      </c:catAx>
      <c:valAx>
        <c:axId val="1160089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60082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1171575</xdr:colOff>
      <xdr:row>20</xdr:row>
      <xdr:rowOff>200024</xdr:rowOff>
    </xdr:from>
    <xdr:to>
      <xdr:col>11</xdr:col>
      <xdr:colOff>638175</xdr:colOff>
      <xdr:row>29</xdr:row>
      <xdr:rowOff>304799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822D60-3E2B-47B1-B430-A4CF4C8E06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28575</xdr:colOff>
      <xdr:row>20</xdr:row>
      <xdr:rowOff>257175</xdr:rowOff>
    </xdr:from>
    <xdr:to>
      <xdr:col>12</xdr:col>
      <xdr:colOff>523875</xdr:colOff>
      <xdr:row>30</xdr:row>
      <xdr:rowOff>333375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B5ADE9F-9A38-45A7-9C1C-CDB92977BA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109537</xdr:colOff>
      <xdr:row>10</xdr:row>
      <xdr:rowOff>152400</xdr:rowOff>
    </xdr:from>
    <xdr:to>
      <xdr:col>14</xdr:col>
      <xdr:colOff>147637</xdr:colOff>
      <xdr:row>26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D3E7120-99F9-5CB4-7C38-F1A512330D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198A9-1E98-4AF6-8091-689810884F55}">
  <sheetPr>
    <tabColor theme="5" tint="-0.249977111117893"/>
  </sheetPr>
  <dimension ref="B3:O25"/>
  <sheetViews>
    <sheetView showGridLines="0" topLeftCell="A12" workbookViewId="0">
      <selection activeCell="H31" sqref="H31"/>
    </sheetView>
  </sheetViews>
  <sheetFormatPr defaultColWidth="15.625" defaultRowHeight="30" customHeight="1"/>
  <sheetData>
    <row r="3" spans="2:15" ht="30" customHeight="1" thickBot="1">
      <c r="B3" s="26" t="s">
        <v>44</v>
      </c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</row>
    <row r="4" spans="2:15" ht="30" customHeight="1">
      <c r="B4" s="26"/>
      <c r="C4" s="27" t="s">
        <v>6</v>
      </c>
      <c r="D4" s="28" t="s">
        <v>9</v>
      </c>
      <c r="E4" s="29" t="s">
        <v>12</v>
      </c>
      <c r="F4" s="26"/>
      <c r="G4" s="30">
        <v>1</v>
      </c>
      <c r="H4" s="31">
        <v>2</v>
      </c>
      <c r="I4" s="31">
        <v>3</v>
      </c>
      <c r="J4" s="31">
        <v>4</v>
      </c>
      <c r="K4" s="31">
        <v>5</v>
      </c>
      <c r="L4" s="31">
        <v>6</v>
      </c>
      <c r="M4" s="31">
        <v>7</v>
      </c>
      <c r="N4" s="32">
        <v>8</v>
      </c>
      <c r="O4" s="26"/>
    </row>
    <row r="5" spans="2:15" ht="30" customHeight="1">
      <c r="B5" s="26"/>
      <c r="C5" s="33"/>
      <c r="D5" s="34"/>
      <c r="E5" s="35"/>
      <c r="F5" s="26"/>
      <c r="G5" s="36"/>
      <c r="H5" s="26"/>
      <c r="I5" s="26"/>
      <c r="J5" s="26"/>
      <c r="K5" s="26"/>
      <c r="L5" s="26"/>
      <c r="M5" s="26"/>
      <c r="N5" s="37"/>
      <c r="O5" s="26"/>
    </row>
    <row r="6" spans="2:15" ht="30" customHeight="1" thickBot="1">
      <c r="B6" s="26"/>
      <c r="C6" s="38" t="s">
        <v>7</v>
      </c>
      <c r="D6" s="39" t="s">
        <v>10</v>
      </c>
      <c r="E6" s="40" t="s">
        <v>13</v>
      </c>
      <c r="F6" s="26"/>
      <c r="G6" s="41" t="s">
        <v>26</v>
      </c>
      <c r="H6" s="42" t="s">
        <v>27</v>
      </c>
      <c r="I6" s="42" t="s">
        <v>28</v>
      </c>
      <c r="J6" s="42" t="s">
        <v>29</v>
      </c>
      <c r="K6" s="42" t="s">
        <v>30</v>
      </c>
      <c r="L6" s="42" t="s">
        <v>31</v>
      </c>
      <c r="M6" s="42" t="s">
        <v>32</v>
      </c>
      <c r="N6" s="43" t="s">
        <v>33</v>
      </c>
      <c r="O6" s="26"/>
    </row>
    <row r="7" spans="2:15" ht="30" customHeight="1">
      <c r="B7" s="26"/>
      <c r="C7" s="33"/>
      <c r="D7" s="34"/>
      <c r="E7" s="35"/>
      <c r="F7" s="26"/>
      <c r="G7" s="26"/>
      <c r="H7" s="26"/>
      <c r="I7" s="26"/>
      <c r="J7" s="26"/>
      <c r="K7" s="26"/>
      <c r="L7" s="26"/>
      <c r="M7" s="26"/>
      <c r="N7" s="26"/>
      <c r="O7" s="26"/>
    </row>
    <row r="8" spans="2:15" ht="30" customHeight="1">
      <c r="B8" s="26"/>
      <c r="C8" s="38" t="s">
        <v>8</v>
      </c>
      <c r="D8" s="39" t="s">
        <v>11</v>
      </c>
      <c r="E8" s="40" t="s">
        <v>14</v>
      </c>
      <c r="F8" s="26"/>
      <c r="G8" s="26"/>
      <c r="H8" s="26"/>
      <c r="I8" s="26"/>
      <c r="J8" s="26"/>
      <c r="K8" s="26"/>
      <c r="L8" s="26"/>
      <c r="M8" s="26"/>
      <c r="N8" s="26"/>
      <c r="O8" s="26"/>
    </row>
    <row r="9" spans="2:15" ht="30" customHeight="1" thickBot="1">
      <c r="B9" s="26"/>
      <c r="C9" s="44"/>
      <c r="D9" s="45"/>
      <c r="E9" s="46"/>
      <c r="F9" s="26"/>
      <c r="G9" s="26"/>
      <c r="H9" s="26"/>
      <c r="I9" s="26"/>
      <c r="J9" s="26"/>
      <c r="K9" s="26"/>
      <c r="L9" s="26"/>
      <c r="M9" s="26"/>
      <c r="N9" s="26"/>
      <c r="O9" s="26"/>
    </row>
    <row r="10" spans="2:15" ht="30" customHeight="1"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</row>
    <row r="11" spans="2:15" s="47" customFormat="1" ht="14.25"/>
    <row r="12" spans="2:15" ht="60" customHeight="1">
      <c r="B12" s="50" t="s">
        <v>45</v>
      </c>
      <c r="C12" s="48" t="s">
        <v>53</v>
      </c>
      <c r="D12" s="48" t="s">
        <v>47</v>
      </c>
      <c r="E12" s="48" t="s">
        <v>49</v>
      </c>
      <c r="F12" s="48" t="s">
        <v>51</v>
      </c>
      <c r="G12" s="48" t="s">
        <v>54</v>
      </c>
      <c r="H12" s="48" t="s">
        <v>55</v>
      </c>
      <c r="I12" s="48" t="s">
        <v>56</v>
      </c>
      <c r="J12" s="48" t="s">
        <v>57</v>
      </c>
      <c r="K12" s="48" t="s">
        <v>58</v>
      </c>
      <c r="L12" s="48" t="s">
        <v>59</v>
      </c>
    </row>
    <row r="13" spans="2:15" ht="30" customHeight="1">
      <c r="C13" s="49" t="s">
        <v>46</v>
      </c>
      <c r="D13" s="49" t="s">
        <v>48</v>
      </c>
      <c r="E13" s="49" t="s">
        <v>50</v>
      </c>
      <c r="F13" s="49" t="s">
        <v>52</v>
      </c>
      <c r="G13" s="49">
        <v>0.3</v>
      </c>
      <c r="H13" s="49">
        <v>3.0000000000000001E-3</v>
      </c>
      <c r="I13" s="49">
        <v>0.04</v>
      </c>
      <c r="J13" s="49">
        <v>2.5000000000000001E-2</v>
      </c>
      <c r="K13" s="49">
        <v>0.5</v>
      </c>
      <c r="L13" s="51" t="s">
        <v>60</v>
      </c>
    </row>
    <row r="14" spans="2:15" ht="30" customHeight="1">
      <c r="C14" s="52" t="s">
        <v>61</v>
      </c>
      <c r="D14" s="52" t="s">
        <v>62</v>
      </c>
      <c r="E14" s="52" t="s">
        <v>63</v>
      </c>
      <c r="F14" s="52" t="s">
        <v>64</v>
      </c>
      <c r="G14" s="52" t="s">
        <v>65</v>
      </c>
      <c r="H14" s="52" t="s">
        <v>66</v>
      </c>
      <c r="I14" s="52" t="s">
        <v>67</v>
      </c>
    </row>
    <row r="15" spans="2:15" ht="30" customHeight="1">
      <c r="C15" s="51">
        <v>1.5767199999999999</v>
      </c>
      <c r="D15" s="51">
        <v>3.278591</v>
      </c>
      <c r="E15" s="51">
        <v>1.42577</v>
      </c>
      <c r="F15" s="51">
        <v>-2.6980000000000001E-2</v>
      </c>
      <c r="G15" s="51">
        <v>0.99807000000000001</v>
      </c>
      <c r="H15" s="51">
        <v>4.0660000000000002E-2</v>
      </c>
      <c r="I15" s="51">
        <v>-3.8469999999999997E-2</v>
      </c>
    </row>
    <row r="17" spans="3:14" ht="30" customHeight="1" thickBot="1"/>
    <row r="18" spans="3:14" ht="30" customHeight="1" thickBot="1">
      <c r="D18" s="1" t="s">
        <v>38</v>
      </c>
      <c r="G18" s="5">
        <v>1</v>
      </c>
      <c r="H18" s="6">
        <v>2</v>
      </c>
      <c r="I18" s="6">
        <v>3</v>
      </c>
      <c r="J18" s="6">
        <v>4</v>
      </c>
      <c r="K18" s="6">
        <v>5</v>
      </c>
      <c r="L18" s="6">
        <v>6</v>
      </c>
      <c r="M18" s="6">
        <v>7</v>
      </c>
      <c r="N18" s="7">
        <v>8</v>
      </c>
    </row>
    <row r="19" spans="3:14" ht="30" customHeight="1" thickBot="1">
      <c r="G19" s="22">
        <f>sum_orient_20260526!O2</f>
        <v>0.22222222222222221</v>
      </c>
      <c r="H19" s="9">
        <f>sum_orient_20260526!O3</f>
        <v>0.7407407407407407</v>
      </c>
      <c r="I19" s="9">
        <f>sum_orient_20260526!O4</f>
        <v>5.5555555555555552E-2</v>
      </c>
      <c r="J19" s="9">
        <f>sum_orient_20260526!O5</f>
        <v>0.27777777777777779</v>
      </c>
      <c r="K19" s="9">
        <f>sum_orient_20260526!O6</f>
        <v>0.55555555555555558</v>
      </c>
      <c r="L19" s="9">
        <f>sum_orient_20260526!O7</f>
        <v>0.5</v>
      </c>
      <c r="M19" s="9">
        <f>sum_orient_20260526!O8</f>
        <v>0.33333333333333331</v>
      </c>
      <c r="N19" s="23">
        <f>sum_orient_20260526!O9</f>
        <v>5.5555555555555552E-2</v>
      </c>
    </row>
    <row r="20" spans="3:14" ht="30" customHeight="1" thickBot="1">
      <c r="C20" s="12" t="s">
        <v>6</v>
      </c>
      <c r="D20" s="13" t="s">
        <v>9</v>
      </c>
      <c r="E20" s="14" t="s">
        <v>12</v>
      </c>
      <c r="G20" s="2" t="s">
        <v>26</v>
      </c>
      <c r="H20" s="3" t="s">
        <v>27</v>
      </c>
      <c r="I20" s="3" t="s">
        <v>28</v>
      </c>
      <c r="J20" s="3" t="s">
        <v>29</v>
      </c>
      <c r="K20" s="3" t="s">
        <v>30</v>
      </c>
      <c r="L20" s="3" t="s">
        <v>31</v>
      </c>
      <c r="M20" s="3" t="s">
        <v>32</v>
      </c>
      <c r="N20" s="4" t="s">
        <v>33</v>
      </c>
    </row>
    <row r="21" spans="3:14" ht="30" customHeight="1">
      <c r="C21" s="15">
        <f>sum_pos_20260526!O2</f>
        <v>0.54166666666666663</v>
      </c>
      <c r="D21" s="11">
        <f>sum_pos_20260526!O5</f>
        <v>0.29166666666666669</v>
      </c>
      <c r="E21" s="16">
        <f>sum_pos_20260526!O8</f>
        <v>0.29166666666666669</v>
      </c>
    </row>
    <row r="22" spans="3:14" ht="30" customHeight="1">
      <c r="C22" s="17" t="s">
        <v>7</v>
      </c>
      <c r="D22" s="10" t="s">
        <v>10</v>
      </c>
      <c r="E22" s="18" t="s">
        <v>13</v>
      </c>
    </row>
    <row r="23" spans="3:14" ht="30" customHeight="1">
      <c r="C23" s="15">
        <f>sum_pos_20260526!O3</f>
        <v>0.5</v>
      </c>
      <c r="D23" s="11">
        <f>sum_pos_20260526!O6</f>
        <v>0.33333333333333331</v>
      </c>
      <c r="E23" s="16">
        <f>sum_pos_20260526!O9</f>
        <v>0.33333333333333331</v>
      </c>
    </row>
    <row r="24" spans="3:14" ht="30" customHeight="1">
      <c r="C24" s="17" t="s">
        <v>8</v>
      </c>
      <c r="D24" s="10" t="s">
        <v>11</v>
      </c>
      <c r="E24" s="18" t="s">
        <v>14</v>
      </c>
    </row>
    <row r="25" spans="3:14" ht="30" customHeight="1" thickBot="1">
      <c r="C25" s="19">
        <f>sum_pos_20260526!O4</f>
        <v>0.45833333333333331</v>
      </c>
      <c r="D25" s="20">
        <f>sum_pos_20260526!O7</f>
        <v>0.29166666666666669</v>
      </c>
      <c r="E25" s="21">
        <f>sum_pos_20260526!O10</f>
        <v>0.25</v>
      </c>
    </row>
  </sheetData>
  <phoneticPr fontId="1" type="noConversion"/>
  <conditionalFormatting sqref="C4:E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0:E2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9:N1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6FE61-2AD5-4FBC-80A8-F40702C462E2}">
  <sheetPr>
    <tabColor theme="5" tint="-0.249977111117893"/>
  </sheetPr>
  <dimension ref="A1:P164"/>
  <sheetViews>
    <sheetView workbookViewId="0">
      <pane xSplit="4" ySplit="1" topLeftCell="E144" activePane="bottomRight" state="frozen"/>
      <selection activeCell="H31" sqref="H31"/>
      <selection pane="topRight" activeCell="H31" sqref="H31"/>
      <selection pane="bottomLeft" activeCell="H31" sqref="H31"/>
      <selection pane="bottomRight" activeCell="H31" sqref="H31"/>
    </sheetView>
  </sheetViews>
  <sheetFormatPr defaultRowHeight="14.25"/>
  <cols>
    <col min="1" max="1" width="10.5" customWidth="1"/>
    <col min="2" max="3" width="12.25" customWidth="1"/>
    <col min="6" max="6" width="23.5" bestFit="1" customWidth="1"/>
    <col min="7" max="7" width="34.875" bestFit="1" customWidth="1"/>
    <col min="9" max="9" width="12.625" customWidth="1"/>
    <col min="10" max="10" width="12.25" customWidth="1"/>
    <col min="11" max="11" width="12.625" customWidth="1"/>
    <col min="12" max="12" width="14.5" customWidth="1"/>
    <col min="13" max="13" width="13.625" customWidth="1"/>
    <col min="14" max="14" width="15.75" customWidth="1"/>
    <col min="15" max="15" width="9.5" customWidth="1"/>
    <col min="16" max="16" width="11.625" customWidth="1"/>
  </cols>
  <sheetData>
    <row r="1" spans="1:16">
      <c r="A1" t="s">
        <v>4</v>
      </c>
      <c r="B1" t="s">
        <v>3</v>
      </c>
      <c r="C1" t="s">
        <v>5</v>
      </c>
      <c r="D1" t="s">
        <v>15</v>
      </c>
      <c r="E1" t="s">
        <v>0</v>
      </c>
      <c r="F1" t="s">
        <v>16</v>
      </c>
      <c r="G1" t="s">
        <v>23</v>
      </c>
      <c r="H1" t="s">
        <v>17</v>
      </c>
      <c r="I1" t="s">
        <v>19</v>
      </c>
      <c r="J1" t="s">
        <v>1</v>
      </c>
      <c r="K1" t="s">
        <v>22</v>
      </c>
      <c r="L1" t="s">
        <v>18</v>
      </c>
      <c r="M1" t="s">
        <v>20</v>
      </c>
      <c r="N1" t="s">
        <v>25</v>
      </c>
      <c r="O1" t="s">
        <v>21</v>
      </c>
      <c r="P1" t="s">
        <v>24</v>
      </c>
    </row>
    <row r="2" spans="1:16">
      <c r="A2">
        <v>1</v>
      </c>
      <c r="B2" t="s">
        <v>6</v>
      </c>
      <c r="C2">
        <v>1</v>
      </c>
      <c r="D2" t="str">
        <f t="shared" ref="D2:D33" si="0">A2&amp;"-"&amp;B2&amp;"-"&amp;C2</f>
        <v>1-A-1</v>
      </c>
      <c r="F2">
        <v>1</v>
      </c>
    </row>
    <row r="3" spans="1:16">
      <c r="A3">
        <v>1</v>
      </c>
      <c r="B3" t="s">
        <v>6</v>
      </c>
      <c r="C3">
        <v>2</v>
      </c>
      <c r="D3" t="str">
        <f t="shared" si="0"/>
        <v>1-A-2</v>
      </c>
      <c r="F3">
        <v>1</v>
      </c>
    </row>
    <row r="4" spans="1:16">
      <c r="A4">
        <v>1</v>
      </c>
      <c r="B4" t="s">
        <v>6</v>
      </c>
      <c r="C4">
        <v>3</v>
      </c>
      <c r="D4" t="str">
        <f t="shared" si="0"/>
        <v>1-A-3</v>
      </c>
      <c r="H4">
        <v>1</v>
      </c>
      <c r="L4">
        <v>1</v>
      </c>
    </row>
    <row r="5" spans="1:16">
      <c r="A5">
        <v>1</v>
      </c>
      <c r="B5" t="s">
        <v>7</v>
      </c>
      <c r="C5">
        <v>1</v>
      </c>
      <c r="D5" t="str">
        <f t="shared" si="0"/>
        <v>1-B-1</v>
      </c>
      <c r="H5">
        <v>1</v>
      </c>
      <c r="L5">
        <v>1</v>
      </c>
    </row>
    <row r="6" spans="1:16">
      <c r="A6">
        <v>1</v>
      </c>
      <c r="B6" t="s">
        <v>7</v>
      </c>
      <c r="C6">
        <v>2</v>
      </c>
      <c r="D6" t="str">
        <f t="shared" si="0"/>
        <v>1-B-2</v>
      </c>
      <c r="H6">
        <v>1</v>
      </c>
      <c r="L6">
        <v>1</v>
      </c>
    </row>
    <row r="7" spans="1:16">
      <c r="A7">
        <v>1</v>
      </c>
      <c r="B7" t="s">
        <v>7</v>
      </c>
      <c r="C7">
        <v>3</v>
      </c>
      <c r="D7" t="str">
        <f t="shared" si="0"/>
        <v>1-B-3</v>
      </c>
      <c r="F7">
        <v>1</v>
      </c>
    </row>
    <row r="8" spans="1:16">
      <c r="A8">
        <v>1</v>
      </c>
      <c r="B8" t="s">
        <v>8</v>
      </c>
      <c r="C8">
        <v>1</v>
      </c>
      <c r="D8" t="str">
        <f t="shared" si="0"/>
        <v>1-C-1</v>
      </c>
      <c r="H8">
        <v>1</v>
      </c>
      <c r="L8">
        <v>1</v>
      </c>
    </row>
    <row r="9" spans="1:16">
      <c r="A9">
        <v>1</v>
      </c>
      <c r="B9" t="s">
        <v>8</v>
      </c>
      <c r="C9">
        <v>2</v>
      </c>
      <c r="D9" t="str">
        <f t="shared" si="0"/>
        <v>1-C-2</v>
      </c>
      <c r="E9">
        <v>1</v>
      </c>
    </row>
    <row r="10" spans="1:16">
      <c r="A10">
        <v>1</v>
      </c>
      <c r="B10" t="s">
        <v>8</v>
      </c>
      <c r="C10">
        <v>3</v>
      </c>
      <c r="D10" t="str">
        <f t="shared" si="0"/>
        <v>1-C-3</v>
      </c>
      <c r="H10">
        <v>1</v>
      </c>
      <c r="L10">
        <v>1</v>
      </c>
    </row>
    <row r="11" spans="1:16">
      <c r="A11">
        <v>1</v>
      </c>
      <c r="B11" t="s">
        <v>9</v>
      </c>
      <c r="C11">
        <v>1</v>
      </c>
      <c r="D11" t="str">
        <f t="shared" si="0"/>
        <v>1-D-1</v>
      </c>
      <c r="H11">
        <v>1</v>
      </c>
      <c r="L11">
        <v>1</v>
      </c>
    </row>
    <row r="12" spans="1:16">
      <c r="A12">
        <v>1</v>
      </c>
      <c r="B12" t="s">
        <v>9</v>
      </c>
      <c r="C12">
        <v>2</v>
      </c>
      <c r="D12" t="str">
        <f t="shared" si="0"/>
        <v>1-D-2</v>
      </c>
      <c r="H12">
        <v>1</v>
      </c>
      <c r="L12">
        <v>1</v>
      </c>
    </row>
    <row r="13" spans="1:16">
      <c r="A13">
        <v>1</v>
      </c>
      <c r="B13" t="s">
        <v>9</v>
      </c>
      <c r="C13">
        <v>3</v>
      </c>
      <c r="D13" t="str">
        <f t="shared" si="0"/>
        <v>1-D-3</v>
      </c>
      <c r="H13">
        <v>1</v>
      </c>
      <c r="L13">
        <v>1</v>
      </c>
    </row>
    <row r="14" spans="1:16">
      <c r="A14">
        <v>1</v>
      </c>
      <c r="B14" t="s">
        <v>10</v>
      </c>
      <c r="C14">
        <v>1</v>
      </c>
      <c r="D14" t="str">
        <f t="shared" si="0"/>
        <v>1-E-1</v>
      </c>
      <c r="H14">
        <v>1</v>
      </c>
      <c r="L14">
        <v>1</v>
      </c>
    </row>
    <row r="15" spans="1:16">
      <c r="A15">
        <v>1</v>
      </c>
      <c r="B15" t="s">
        <v>10</v>
      </c>
      <c r="C15">
        <v>2</v>
      </c>
      <c r="D15" t="str">
        <f t="shared" si="0"/>
        <v>1-E-2</v>
      </c>
      <c r="H15">
        <v>1</v>
      </c>
      <c r="L15">
        <v>1</v>
      </c>
    </row>
    <row r="16" spans="1:16">
      <c r="A16">
        <v>1</v>
      </c>
      <c r="B16" t="s">
        <v>10</v>
      </c>
      <c r="C16">
        <v>3</v>
      </c>
      <c r="D16" t="str">
        <f t="shared" si="0"/>
        <v>1-E-3</v>
      </c>
      <c r="H16">
        <v>1</v>
      </c>
      <c r="L16">
        <v>1</v>
      </c>
    </row>
    <row r="17" spans="1:16">
      <c r="A17">
        <v>1</v>
      </c>
      <c r="B17" t="s">
        <v>11</v>
      </c>
      <c r="C17">
        <v>1</v>
      </c>
      <c r="D17" t="str">
        <f t="shared" si="0"/>
        <v>1-F-1</v>
      </c>
      <c r="H17">
        <v>1</v>
      </c>
      <c r="L17">
        <v>1</v>
      </c>
    </row>
    <row r="18" spans="1:16">
      <c r="A18">
        <v>1</v>
      </c>
      <c r="B18" t="s">
        <v>11</v>
      </c>
      <c r="C18">
        <v>2</v>
      </c>
      <c r="D18" t="str">
        <f t="shared" si="0"/>
        <v>1-F-2</v>
      </c>
      <c r="H18">
        <v>1</v>
      </c>
      <c r="I18">
        <v>1</v>
      </c>
    </row>
    <row r="19" spans="1:16">
      <c r="A19">
        <v>1</v>
      </c>
      <c r="B19" t="s">
        <v>11</v>
      </c>
      <c r="C19">
        <v>3</v>
      </c>
      <c r="D19" t="str">
        <f t="shared" si="0"/>
        <v>1-F-3</v>
      </c>
      <c r="H19">
        <v>1</v>
      </c>
      <c r="I19">
        <v>1</v>
      </c>
    </row>
    <row r="20" spans="1:16">
      <c r="A20">
        <v>1</v>
      </c>
      <c r="B20" t="s">
        <v>12</v>
      </c>
      <c r="C20">
        <v>1</v>
      </c>
      <c r="D20" t="str">
        <f t="shared" si="0"/>
        <v>1-G-1</v>
      </c>
      <c r="F20">
        <v>1</v>
      </c>
      <c r="I20">
        <v>1</v>
      </c>
    </row>
    <row r="21" spans="1:16">
      <c r="A21">
        <v>1</v>
      </c>
      <c r="B21" t="s">
        <v>12</v>
      </c>
      <c r="C21">
        <v>2</v>
      </c>
      <c r="D21" t="str">
        <f t="shared" si="0"/>
        <v>1-G-2</v>
      </c>
      <c r="H21">
        <v>1</v>
      </c>
      <c r="O21">
        <v>1</v>
      </c>
    </row>
    <row r="22" spans="1:16">
      <c r="A22">
        <v>1</v>
      </c>
      <c r="B22" t="s">
        <v>12</v>
      </c>
      <c r="C22">
        <v>3</v>
      </c>
      <c r="D22" t="str">
        <f t="shared" si="0"/>
        <v>1-G-3</v>
      </c>
      <c r="H22">
        <v>1</v>
      </c>
      <c r="L22">
        <v>1</v>
      </c>
    </row>
    <row r="23" spans="1:16">
      <c r="A23">
        <v>1</v>
      </c>
      <c r="B23" t="s">
        <v>13</v>
      </c>
      <c r="C23">
        <v>1</v>
      </c>
      <c r="D23" t="str">
        <f t="shared" si="0"/>
        <v>1-H-1</v>
      </c>
      <c r="H23">
        <v>1</v>
      </c>
      <c r="O23">
        <v>1</v>
      </c>
    </row>
    <row r="24" spans="1:16">
      <c r="A24">
        <v>1</v>
      </c>
      <c r="B24" t="s">
        <v>13</v>
      </c>
      <c r="C24">
        <v>2</v>
      </c>
      <c r="D24" t="str">
        <f t="shared" si="0"/>
        <v>1-H-2</v>
      </c>
      <c r="H24">
        <v>1</v>
      </c>
      <c r="L24">
        <v>1</v>
      </c>
    </row>
    <row r="25" spans="1:16">
      <c r="A25">
        <v>1</v>
      </c>
      <c r="B25" t="s">
        <v>13</v>
      </c>
      <c r="C25">
        <v>3</v>
      </c>
      <c r="D25" t="str">
        <f t="shared" si="0"/>
        <v>1-H-3</v>
      </c>
      <c r="E25">
        <v>1</v>
      </c>
    </row>
    <row r="26" spans="1:16">
      <c r="A26">
        <v>1</v>
      </c>
      <c r="B26" t="s">
        <v>14</v>
      </c>
      <c r="C26">
        <v>1</v>
      </c>
      <c r="D26" t="str">
        <f t="shared" si="0"/>
        <v>1-I-1</v>
      </c>
      <c r="H26">
        <v>1</v>
      </c>
      <c r="K26">
        <v>1</v>
      </c>
    </row>
    <row r="27" spans="1:16">
      <c r="A27">
        <v>1</v>
      </c>
      <c r="B27" t="s">
        <v>14</v>
      </c>
      <c r="C27">
        <v>2</v>
      </c>
      <c r="D27" t="str">
        <f t="shared" si="0"/>
        <v>1-I-2</v>
      </c>
      <c r="H27">
        <v>1</v>
      </c>
      <c r="L27">
        <v>1</v>
      </c>
    </row>
    <row r="28" spans="1:16">
      <c r="A28">
        <v>1</v>
      </c>
      <c r="B28" t="s">
        <v>14</v>
      </c>
      <c r="C28">
        <v>3</v>
      </c>
      <c r="D28" t="str">
        <f t="shared" si="0"/>
        <v>1-I-3</v>
      </c>
      <c r="H28">
        <v>1</v>
      </c>
      <c r="L28">
        <v>1</v>
      </c>
    </row>
    <row r="29" spans="1:16">
      <c r="A29">
        <v>2</v>
      </c>
      <c r="B29" t="s">
        <v>6</v>
      </c>
      <c r="C29">
        <v>1</v>
      </c>
      <c r="D29" t="str">
        <f t="shared" si="0"/>
        <v>2-A-1</v>
      </c>
      <c r="F29">
        <v>1</v>
      </c>
    </row>
    <row r="30" spans="1:16">
      <c r="A30">
        <v>2</v>
      </c>
      <c r="B30" t="s">
        <v>6</v>
      </c>
      <c r="C30">
        <v>2</v>
      </c>
      <c r="D30" t="str">
        <f t="shared" si="0"/>
        <v>2-A-2</v>
      </c>
      <c r="F30">
        <v>1</v>
      </c>
    </row>
    <row r="31" spans="1:16">
      <c r="A31">
        <v>2</v>
      </c>
      <c r="B31" t="s">
        <v>6</v>
      </c>
      <c r="C31">
        <v>3</v>
      </c>
      <c r="D31" t="str">
        <f t="shared" si="0"/>
        <v>2-A-3</v>
      </c>
      <c r="F31">
        <v>1</v>
      </c>
    </row>
    <row r="32" spans="1:16">
      <c r="A32">
        <v>2</v>
      </c>
      <c r="B32" t="s">
        <v>7</v>
      </c>
      <c r="C32">
        <v>1</v>
      </c>
      <c r="D32" t="str">
        <f t="shared" si="0"/>
        <v>2-B-1</v>
      </c>
      <c r="G32">
        <v>1</v>
      </c>
      <c r="P32">
        <v>1</v>
      </c>
    </row>
    <row r="33" spans="1:16">
      <c r="A33">
        <v>2</v>
      </c>
      <c r="B33" t="s">
        <v>7</v>
      </c>
      <c r="C33">
        <v>2</v>
      </c>
      <c r="D33" t="str">
        <f t="shared" si="0"/>
        <v>2-B-2</v>
      </c>
      <c r="F33">
        <v>1</v>
      </c>
    </row>
    <row r="34" spans="1:16">
      <c r="A34">
        <v>2</v>
      </c>
      <c r="B34" t="s">
        <v>7</v>
      </c>
      <c r="C34">
        <v>3</v>
      </c>
      <c r="D34" t="str">
        <f t="shared" ref="D34:D65" si="1">A34&amp;"-"&amp;B34&amp;"-"&amp;C34</f>
        <v>2-B-3</v>
      </c>
      <c r="F34">
        <v>1</v>
      </c>
    </row>
    <row r="35" spans="1:16">
      <c r="A35">
        <v>2</v>
      </c>
      <c r="B35" t="s">
        <v>8</v>
      </c>
      <c r="C35">
        <v>1</v>
      </c>
      <c r="D35" t="str">
        <f t="shared" si="1"/>
        <v>2-C-1</v>
      </c>
      <c r="F35">
        <v>1</v>
      </c>
    </row>
    <row r="36" spans="1:16">
      <c r="A36">
        <v>2</v>
      </c>
      <c r="B36" t="s">
        <v>8</v>
      </c>
      <c r="C36">
        <v>2</v>
      </c>
      <c r="D36" t="str">
        <f t="shared" si="1"/>
        <v>2-C-2</v>
      </c>
      <c r="F36">
        <v>1</v>
      </c>
    </row>
    <row r="37" spans="1:16">
      <c r="A37">
        <v>2</v>
      </c>
      <c r="B37" t="s">
        <v>8</v>
      </c>
      <c r="C37">
        <v>3</v>
      </c>
      <c r="D37" t="str">
        <f t="shared" si="1"/>
        <v>2-C-3</v>
      </c>
      <c r="F37">
        <v>1</v>
      </c>
    </row>
    <row r="38" spans="1:16">
      <c r="A38">
        <v>2</v>
      </c>
      <c r="B38" t="s">
        <v>9</v>
      </c>
      <c r="C38">
        <v>1</v>
      </c>
      <c r="D38" t="str">
        <f t="shared" si="1"/>
        <v>2-D-1</v>
      </c>
      <c r="F38">
        <v>1</v>
      </c>
    </row>
    <row r="39" spans="1:16">
      <c r="A39">
        <v>2</v>
      </c>
      <c r="B39" t="s">
        <v>9</v>
      </c>
      <c r="C39">
        <v>2</v>
      </c>
      <c r="D39" t="str">
        <f t="shared" si="1"/>
        <v>2-D-2</v>
      </c>
      <c r="F39">
        <v>1</v>
      </c>
    </row>
    <row r="40" spans="1:16">
      <c r="A40">
        <v>2</v>
      </c>
      <c r="B40" t="s">
        <v>9</v>
      </c>
      <c r="C40">
        <v>3</v>
      </c>
      <c r="D40" t="str">
        <f t="shared" si="1"/>
        <v>2-D-3</v>
      </c>
      <c r="F40">
        <v>1</v>
      </c>
    </row>
    <row r="41" spans="1:16">
      <c r="A41">
        <v>2</v>
      </c>
      <c r="B41" t="s">
        <v>10</v>
      </c>
      <c r="C41">
        <v>1</v>
      </c>
      <c r="D41" t="str">
        <f t="shared" si="1"/>
        <v>2-E-1</v>
      </c>
      <c r="F41">
        <v>1</v>
      </c>
    </row>
    <row r="42" spans="1:16">
      <c r="A42">
        <v>2</v>
      </c>
      <c r="B42" t="s">
        <v>10</v>
      </c>
      <c r="C42">
        <v>2</v>
      </c>
      <c r="D42" t="str">
        <f t="shared" si="1"/>
        <v>2-E-2</v>
      </c>
      <c r="F42">
        <v>1</v>
      </c>
    </row>
    <row r="43" spans="1:16">
      <c r="A43">
        <v>2</v>
      </c>
      <c r="B43" t="s">
        <v>10</v>
      </c>
      <c r="C43">
        <v>3</v>
      </c>
      <c r="D43" t="str">
        <f t="shared" si="1"/>
        <v>2-E-3</v>
      </c>
      <c r="G43">
        <v>1</v>
      </c>
      <c r="P43">
        <v>1</v>
      </c>
    </row>
    <row r="44" spans="1:16">
      <c r="A44">
        <v>2</v>
      </c>
      <c r="B44" t="s">
        <v>11</v>
      </c>
      <c r="C44">
        <v>1</v>
      </c>
      <c r="D44" t="str">
        <f t="shared" si="1"/>
        <v>2-F-1</v>
      </c>
      <c r="G44">
        <v>1</v>
      </c>
      <c r="P44">
        <v>1</v>
      </c>
    </row>
    <row r="45" spans="1:16">
      <c r="A45">
        <v>2</v>
      </c>
      <c r="B45" t="s">
        <v>11</v>
      </c>
      <c r="C45">
        <v>2</v>
      </c>
      <c r="D45" t="str">
        <f t="shared" si="1"/>
        <v>2-F-2</v>
      </c>
      <c r="F45">
        <v>1</v>
      </c>
    </row>
    <row r="46" spans="1:16">
      <c r="A46">
        <v>2</v>
      </c>
      <c r="B46" t="s">
        <v>11</v>
      </c>
      <c r="C46">
        <v>3</v>
      </c>
      <c r="D46" t="str">
        <f t="shared" si="1"/>
        <v>2-F-3</v>
      </c>
      <c r="F46">
        <v>1</v>
      </c>
    </row>
    <row r="47" spans="1:16">
      <c r="A47">
        <v>2</v>
      </c>
      <c r="B47" t="s">
        <v>12</v>
      </c>
      <c r="C47">
        <v>1</v>
      </c>
      <c r="D47" t="str">
        <f t="shared" si="1"/>
        <v>2-G-1</v>
      </c>
      <c r="F47">
        <v>1</v>
      </c>
    </row>
    <row r="48" spans="1:16">
      <c r="A48">
        <v>2</v>
      </c>
      <c r="B48" t="s">
        <v>12</v>
      </c>
      <c r="C48">
        <v>2</v>
      </c>
      <c r="D48" t="str">
        <f t="shared" si="1"/>
        <v>2-G-2</v>
      </c>
      <c r="F48">
        <v>1</v>
      </c>
    </row>
    <row r="49" spans="1:15">
      <c r="A49">
        <v>2</v>
      </c>
      <c r="B49" t="s">
        <v>12</v>
      </c>
      <c r="C49">
        <v>3</v>
      </c>
      <c r="D49" t="str">
        <f t="shared" si="1"/>
        <v>2-G-3</v>
      </c>
      <c r="F49">
        <v>1</v>
      </c>
    </row>
    <row r="50" spans="1:15">
      <c r="A50">
        <v>2</v>
      </c>
      <c r="B50" t="s">
        <v>13</v>
      </c>
      <c r="C50">
        <v>1</v>
      </c>
      <c r="D50" t="str">
        <f t="shared" si="1"/>
        <v>2-H-1</v>
      </c>
      <c r="F50">
        <v>1</v>
      </c>
    </row>
    <row r="51" spans="1:15">
      <c r="A51">
        <v>2</v>
      </c>
      <c r="B51" t="s">
        <v>13</v>
      </c>
      <c r="C51">
        <v>2</v>
      </c>
      <c r="D51" t="str">
        <f t="shared" si="1"/>
        <v>2-H-2</v>
      </c>
      <c r="H51">
        <v>1</v>
      </c>
      <c r="O51">
        <v>1</v>
      </c>
    </row>
    <row r="52" spans="1:15">
      <c r="A52">
        <v>2</v>
      </c>
      <c r="B52" t="s">
        <v>13</v>
      </c>
      <c r="C52">
        <v>3</v>
      </c>
      <c r="D52" t="str">
        <f t="shared" si="1"/>
        <v>2-H-3</v>
      </c>
      <c r="H52">
        <v>1</v>
      </c>
      <c r="O52">
        <v>1</v>
      </c>
    </row>
    <row r="53" spans="1:15">
      <c r="A53">
        <v>2</v>
      </c>
      <c r="B53" t="s">
        <v>14</v>
      </c>
      <c r="C53">
        <v>1</v>
      </c>
      <c r="D53" t="str">
        <f t="shared" si="1"/>
        <v>2-I-1</v>
      </c>
      <c r="H53">
        <v>1</v>
      </c>
      <c r="O53">
        <v>1</v>
      </c>
    </row>
    <row r="54" spans="1:15">
      <c r="A54">
        <v>2</v>
      </c>
      <c r="B54" t="s">
        <v>14</v>
      </c>
      <c r="C54">
        <v>2</v>
      </c>
      <c r="D54" t="str">
        <f t="shared" si="1"/>
        <v>2-I-2</v>
      </c>
      <c r="F54">
        <v>1</v>
      </c>
    </row>
    <row r="55" spans="1:15">
      <c r="A55">
        <v>2</v>
      </c>
      <c r="B55" t="s">
        <v>14</v>
      </c>
      <c r="C55">
        <v>3</v>
      </c>
      <c r="D55" t="str">
        <f t="shared" si="1"/>
        <v>2-I-3</v>
      </c>
      <c r="H55">
        <v>1</v>
      </c>
      <c r="O55">
        <v>1</v>
      </c>
    </row>
    <row r="56" spans="1:15">
      <c r="A56">
        <v>3</v>
      </c>
      <c r="B56" t="s">
        <v>6</v>
      </c>
      <c r="C56">
        <v>1</v>
      </c>
      <c r="D56" t="str">
        <f t="shared" si="1"/>
        <v>3-A-1</v>
      </c>
      <c r="H56">
        <v>1</v>
      </c>
      <c r="N56">
        <v>1</v>
      </c>
    </row>
    <row r="57" spans="1:15">
      <c r="A57">
        <v>3</v>
      </c>
      <c r="B57" t="s">
        <v>6</v>
      </c>
      <c r="C57">
        <v>2</v>
      </c>
      <c r="D57" t="str">
        <f t="shared" si="1"/>
        <v>3-A-2</v>
      </c>
      <c r="H57">
        <v>1</v>
      </c>
      <c r="N57">
        <v>1</v>
      </c>
    </row>
    <row r="58" spans="1:15">
      <c r="A58">
        <v>3</v>
      </c>
      <c r="B58" t="s">
        <v>6</v>
      </c>
      <c r="C58">
        <v>3</v>
      </c>
      <c r="D58" t="str">
        <f t="shared" si="1"/>
        <v>3-A-3</v>
      </c>
      <c r="H58">
        <v>1</v>
      </c>
      <c r="N58">
        <v>1</v>
      </c>
    </row>
    <row r="59" spans="1:15">
      <c r="A59">
        <v>3</v>
      </c>
      <c r="B59" t="s">
        <v>8</v>
      </c>
      <c r="C59">
        <v>1</v>
      </c>
      <c r="D59" t="str">
        <f t="shared" si="1"/>
        <v>3-C-1</v>
      </c>
      <c r="H59">
        <v>1</v>
      </c>
      <c r="N59">
        <v>1</v>
      </c>
    </row>
    <row r="60" spans="1:15">
      <c r="A60">
        <v>3</v>
      </c>
      <c r="B60" t="s">
        <v>8</v>
      </c>
      <c r="C60">
        <v>2</v>
      </c>
      <c r="D60" t="str">
        <f t="shared" si="1"/>
        <v>3-C-2</v>
      </c>
      <c r="H60">
        <v>1</v>
      </c>
      <c r="N60">
        <v>1</v>
      </c>
    </row>
    <row r="61" spans="1:15">
      <c r="A61">
        <v>3</v>
      </c>
      <c r="B61" t="s">
        <v>8</v>
      </c>
      <c r="C61">
        <v>3</v>
      </c>
      <c r="D61" t="str">
        <f t="shared" si="1"/>
        <v>3-C-3</v>
      </c>
      <c r="H61">
        <v>1</v>
      </c>
      <c r="J61">
        <v>1</v>
      </c>
    </row>
    <row r="62" spans="1:15">
      <c r="A62">
        <v>3</v>
      </c>
      <c r="B62" t="s">
        <v>9</v>
      </c>
      <c r="C62">
        <v>1</v>
      </c>
      <c r="D62" t="str">
        <f t="shared" si="1"/>
        <v>3-D-1</v>
      </c>
      <c r="H62">
        <v>1</v>
      </c>
      <c r="J62">
        <v>1</v>
      </c>
    </row>
    <row r="63" spans="1:15">
      <c r="A63">
        <v>3</v>
      </c>
      <c r="B63" t="s">
        <v>9</v>
      </c>
      <c r="C63">
        <v>2</v>
      </c>
      <c r="D63" t="str">
        <f t="shared" si="1"/>
        <v>3-D-2</v>
      </c>
      <c r="H63">
        <v>1</v>
      </c>
      <c r="J63">
        <v>1</v>
      </c>
    </row>
    <row r="64" spans="1:15">
      <c r="A64">
        <v>3</v>
      </c>
      <c r="B64" t="s">
        <v>9</v>
      </c>
      <c r="C64">
        <v>3</v>
      </c>
      <c r="D64" t="str">
        <f t="shared" si="1"/>
        <v>3-D-3</v>
      </c>
      <c r="H64">
        <v>1</v>
      </c>
      <c r="J64">
        <v>1</v>
      </c>
    </row>
    <row r="65" spans="1:14">
      <c r="A65">
        <v>3</v>
      </c>
      <c r="B65" t="s">
        <v>11</v>
      </c>
      <c r="C65">
        <v>1</v>
      </c>
      <c r="D65" t="str">
        <f t="shared" si="1"/>
        <v>3-F-1</v>
      </c>
      <c r="H65">
        <v>1</v>
      </c>
      <c r="N65">
        <v>1</v>
      </c>
    </row>
    <row r="66" spans="1:14">
      <c r="A66">
        <v>3</v>
      </c>
      <c r="B66" t="s">
        <v>11</v>
      </c>
      <c r="C66">
        <v>2</v>
      </c>
      <c r="D66" t="str">
        <f t="shared" ref="D66:D97" si="2">A66&amp;"-"&amp;B66&amp;"-"&amp;C66</f>
        <v>3-F-2</v>
      </c>
      <c r="H66">
        <v>1</v>
      </c>
      <c r="N66">
        <v>1</v>
      </c>
    </row>
    <row r="67" spans="1:14">
      <c r="A67">
        <v>3</v>
      </c>
      <c r="B67" t="s">
        <v>11</v>
      </c>
      <c r="C67">
        <v>3</v>
      </c>
      <c r="D67" t="str">
        <f t="shared" si="2"/>
        <v>3-F-3</v>
      </c>
      <c r="H67">
        <v>1</v>
      </c>
      <c r="J67">
        <v>1</v>
      </c>
    </row>
    <row r="68" spans="1:14">
      <c r="A68">
        <v>3</v>
      </c>
      <c r="B68" t="s">
        <v>12</v>
      </c>
      <c r="C68">
        <v>1</v>
      </c>
      <c r="D68" t="str">
        <f t="shared" si="2"/>
        <v>3-G-1</v>
      </c>
      <c r="H68">
        <v>1</v>
      </c>
      <c r="J68">
        <v>1</v>
      </c>
    </row>
    <row r="69" spans="1:14">
      <c r="A69">
        <v>3</v>
      </c>
      <c r="B69" t="s">
        <v>12</v>
      </c>
      <c r="C69">
        <v>2</v>
      </c>
      <c r="D69" t="str">
        <f t="shared" si="2"/>
        <v>3-G-2</v>
      </c>
      <c r="H69">
        <v>1</v>
      </c>
      <c r="J69">
        <v>1</v>
      </c>
    </row>
    <row r="70" spans="1:14">
      <c r="A70">
        <v>3</v>
      </c>
      <c r="B70" t="s">
        <v>12</v>
      </c>
      <c r="C70">
        <v>3</v>
      </c>
      <c r="D70" t="str">
        <f t="shared" si="2"/>
        <v>3-G-3</v>
      </c>
      <c r="H70">
        <v>1</v>
      </c>
      <c r="J70">
        <v>1</v>
      </c>
    </row>
    <row r="71" spans="1:14">
      <c r="A71">
        <v>3</v>
      </c>
      <c r="B71" t="s">
        <v>14</v>
      </c>
      <c r="C71">
        <v>1</v>
      </c>
      <c r="D71" t="str">
        <f t="shared" si="2"/>
        <v>3-I-1</v>
      </c>
      <c r="F71">
        <v>1</v>
      </c>
      <c r="M71">
        <v>1</v>
      </c>
    </row>
    <row r="72" spans="1:14">
      <c r="A72">
        <v>3</v>
      </c>
      <c r="B72" t="s">
        <v>14</v>
      </c>
      <c r="C72">
        <v>2</v>
      </c>
      <c r="D72" t="str">
        <f t="shared" si="2"/>
        <v>3-I-2</v>
      </c>
      <c r="H72">
        <v>1</v>
      </c>
      <c r="J72">
        <v>1</v>
      </c>
    </row>
    <row r="73" spans="1:14">
      <c r="A73">
        <v>3</v>
      </c>
      <c r="B73" t="s">
        <v>14</v>
      </c>
      <c r="C73">
        <v>3</v>
      </c>
      <c r="D73" t="str">
        <f t="shared" si="2"/>
        <v>3-I-3</v>
      </c>
      <c r="H73">
        <v>1</v>
      </c>
      <c r="J73">
        <v>1</v>
      </c>
    </row>
    <row r="74" spans="1:14">
      <c r="A74">
        <v>4</v>
      </c>
      <c r="B74" t="s">
        <v>6</v>
      </c>
      <c r="C74">
        <v>1</v>
      </c>
      <c r="D74" t="str">
        <f t="shared" si="2"/>
        <v>4-A-1</v>
      </c>
      <c r="F74">
        <v>1</v>
      </c>
    </row>
    <row r="75" spans="1:14">
      <c r="A75">
        <v>4</v>
      </c>
      <c r="B75" t="s">
        <v>6</v>
      </c>
      <c r="C75">
        <v>2</v>
      </c>
      <c r="D75" t="str">
        <f t="shared" si="2"/>
        <v>4-A-2</v>
      </c>
      <c r="F75">
        <v>1</v>
      </c>
    </row>
    <row r="76" spans="1:14">
      <c r="A76">
        <v>4</v>
      </c>
      <c r="B76" t="s">
        <v>6</v>
      </c>
      <c r="C76">
        <v>3</v>
      </c>
      <c r="D76" t="str">
        <f t="shared" si="2"/>
        <v>4-A-3</v>
      </c>
      <c r="F76">
        <v>1</v>
      </c>
    </row>
    <row r="77" spans="1:14">
      <c r="A77">
        <v>4</v>
      </c>
      <c r="B77" t="s">
        <v>8</v>
      </c>
      <c r="C77">
        <v>1</v>
      </c>
      <c r="D77" t="str">
        <f t="shared" si="2"/>
        <v>4-C-1</v>
      </c>
      <c r="H77">
        <v>1</v>
      </c>
      <c r="L77">
        <v>1</v>
      </c>
    </row>
    <row r="78" spans="1:14">
      <c r="A78">
        <v>4</v>
      </c>
      <c r="B78" t="s">
        <v>8</v>
      </c>
      <c r="C78">
        <v>2</v>
      </c>
      <c r="D78" t="str">
        <f t="shared" si="2"/>
        <v>4-C-2</v>
      </c>
      <c r="H78">
        <v>1</v>
      </c>
      <c r="L78">
        <v>1</v>
      </c>
    </row>
    <row r="79" spans="1:14">
      <c r="A79">
        <v>4</v>
      </c>
      <c r="B79" t="s">
        <v>8</v>
      </c>
      <c r="C79">
        <v>3</v>
      </c>
      <c r="D79" t="str">
        <f t="shared" si="2"/>
        <v>4-C-3</v>
      </c>
      <c r="H79">
        <v>1</v>
      </c>
      <c r="L79">
        <v>1</v>
      </c>
    </row>
    <row r="80" spans="1:14">
      <c r="A80">
        <v>4</v>
      </c>
      <c r="B80" t="s">
        <v>9</v>
      </c>
      <c r="C80">
        <v>1</v>
      </c>
      <c r="D80" t="str">
        <f t="shared" si="2"/>
        <v>4-D-1</v>
      </c>
      <c r="H80">
        <v>1</v>
      </c>
      <c r="L80">
        <v>1</v>
      </c>
    </row>
    <row r="81" spans="1:16">
      <c r="A81">
        <v>4</v>
      </c>
      <c r="B81" t="s">
        <v>9</v>
      </c>
      <c r="C81">
        <v>2</v>
      </c>
      <c r="D81" t="str">
        <f t="shared" si="2"/>
        <v>4-D-2</v>
      </c>
      <c r="H81">
        <v>1</v>
      </c>
      <c r="L81">
        <v>1</v>
      </c>
    </row>
    <row r="82" spans="1:16">
      <c r="A82">
        <v>4</v>
      </c>
      <c r="B82" t="s">
        <v>9</v>
      </c>
      <c r="C82">
        <v>3</v>
      </c>
      <c r="D82" t="str">
        <f t="shared" si="2"/>
        <v>4-D-3</v>
      </c>
      <c r="H82">
        <v>1</v>
      </c>
      <c r="L82">
        <v>1</v>
      </c>
    </row>
    <row r="83" spans="1:16">
      <c r="A83">
        <v>4</v>
      </c>
      <c r="B83" t="s">
        <v>11</v>
      </c>
      <c r="C83">
        <v>1</v>
      </c>
      <c r="D83" t="str">
        <f t="shared" si="2"/>
        <v>4-F-1</v>
      </c>
      <c r="H83">
        <v>1</v>
      </c>
      <c r="L83">
        <v>1</v>
      </c>
    </row>
    <row r="84" spans="1:16">
      <c r="A84">
        <v>4</v>
      </c>
      <c r="B84" t="s">
        <v>11</v>
      </c>
      <c r="C84">
        <v>2</v>
      </c>
      <c r="D84" t="str">
        <f t="shared" si="2"/>
        <v>4-F-2</v>
      </c>
      <c r="H84">
        <v>1</v>
      </c>
      <c r="L84">
        <v>1</v>
      </c>
    </row>
    <row r="85" spans="1:16">
      <c r="A85">
        <v>4</v>
      </c>
      <c r="B85" t="s">
        <v>11</v>
      </c>
      <c r="C85">
        <v>3</v>
      </c>
      <c r="D85" t="str">
        <f t="shared" si="2"/>
        <v>4-F-3</v>
      </c>
      <c r="H85">
        <v>1</v>
      </c>
      <c r="L85">
        <v>1</v>
      </c>
    </row>
    <row r="86" spans="1:16">
      <c r="A86">
        <v>4</v>
      </c>
      <c r="B86" t="s">
        <v>12</v>
      </c>
      <c r="C86">
        <v>1</v>
      </c>
      <c r="D86" t="str">
        <f t="shared" si="2"/>
        <v>4-G-1</v>
      </c>
      <c r="H86">
        <v>1</v>
      </c>
      <c r="M86">
        <v>1</v>
      </c>
      <c r="N86">
        <v>1</v>
      </c>
    </row>
    <row r="87" spans="1:16">
      <c r="A87">
        <v>4</v>
      </c>
      <c r="B87" t="s">
        <v>12</v>
      </c>
      <c r="C87">
        <v>2</v>
      </c>
      <c r="D87" t="str">
        <f t="shared" si="2"/>
        <v>4-G-2</v>
      </c>
      <c r="H87">
        <v>1</v>
      </c>
      <c r="N87">
        <v>1</v>
      </c>
    </row>
    <row r="88" spans="1:16">
      <c r="A88">
        <v>4</v>
      </c>
      <c r="B88" t="s">
        <v>12</v>
      </c>
      <c r="C88">
        <v>3</v>
      </c>
      <c r="D88" t="str">
        <f t="shared" si="2"/>
        <v>4-G-3</v>
      </c>
      <c r="H88">
        <v>1</v>
      </c>
      <c r="M88">
        <v>1</v>
      </c>
      <c r="N88">
        <v>1</v>
      </c>
    </row>
    <row r="89" spans="1:16">
      <c r="A89">
        <v>4</v>
      </c>
      <c r="B89" t="s">
        <v>14</v>
      </c>
      <c r="C89">
        <v>1</v>
      </c>
      <c r="D89" t="str">
        <f t="shared" si="2"/>
        <v>4-I-1</v>
      </c>
      <c r="E89">
        <v>1</v>
      </c>
    </row>
    <row r="90" spans="1:16">
      <c r="A90">
        <v>4</v>
      </c>
      <c r="B90" t="s">
        <v>14</v>
      </c>
      <c r="C90">
        <v>2</v>
      </c>
      <c r="D90" t="str">
        <f t="shared" si="2"/>
        <v>4-I-2</v>
      </c>
      <c r="E90">
        <v>1</v>
      </c>
    </row>
    <row r="91" spans="1:16">
      <c r="A91">
        <v>4</v>
      </c>
      <c r="B91" t="s">
        <v>14</v>
      </c>
      <c r="C91">
        <v>3</v>
      </c>
      <c r="D91" t="str">
        <f t="shared" si="2"/>
        <v>4-I-3</v>
      </c>
      <c r="H91">
        <v>1</v>
      </c>
      <c r="L91">
        <v>1</v>
      </c>
    </row>
    <row r="92" spans="1:16">
      <c r="A92">
        <v>5</v>
      </c>
      <c r="B92" t="s">
        <v>6</v>
      </c>
      <c r="C92">
        <v>1</v>
      </c>
      <c r="D92" t="str">
        <f t="shared" si="2"/>
        <v>5-A-1</v>
      </c>
      <c r="H92">
        <v>1</v>
      </c>
      <c r="L92">
        <v>1</v>
      </c>
    </row>
    <row r="93" spans="1:16">
      <c r="A93">
        <v>5</v>
      </c>
      <c r="B93" t="s">
        <v>6</v>
      </c>
      <c r="C93">
        <v>2</v>
      </c>
      <c r="D93" t="str">
        <f t="shared" si="2"/>
        <v>5-A-2</v>
      </c>
      <c r="F93">
        <v>1</v>
      </c>
    </row>
    <row r="94" spans="1:16">
      <c r="A94">
        <v>5</v>
      </c>
      <c r="B94" t="s">
        <v>6</v>
      </c>
      <c r="C94">
        <v>3</v>
      </c>
      <c r="D94" t="str">
        <f t="shared" si="2"/>
        <v>5-A-3</v>
      </c>
      <c r="H94">
        <v>1</v>
      </c>
      <c r="L94">
        <v>1</v>
      </c>
    </row>
    <row r="95" spans="1:16">
      <c r="A95">
        <v>5</v>
      </c>
      <c r="B95" t="s">
        <v>8</v>
      </c>
      <c r="C95">
        <v>1</v>
      </c>
      <c r="D95" t="str">
        <f t="shared" si="2"/>
        <v>5-C-1</v>
      </c>
      <c r="E95">
        <v>1</v>
      </c>
    </row>
    <row r="96" spans="1:16">
      <c r="A96">
        <v>5</v>
      </c>
      <c r="B96" t="s">
        <v>8</v>
      </c>
      <c r="C96">
        <v>2</v>
      </c>
      <c r="D96" t="str">
        <f t="shared" si="2"/>
        <v>5-C-2</v>
      </c>
      <c r="G96">
        <v>1</v>
      </c>
      <c r="P96">
        <v>1</v>
      </c>
    </row>
    <row r="97" spans="1:15">
      <c r="A97">
        <v>5</v>
      </c>
      <c r="B97" t="s">
        <v>8</v>
      </c>
      <c r="C97">
        <v>3</v>
      </c>
      <c r="D97" t="str">
        <f t="shared" si="2"/>
        <v>5-C-3</v>
      </c>
      <c r="E97">
        <v>1</v>
      </c>
    </row>
    <row r="98" spans="1:15">
      <c r="A98">
        <v>5</v>
      </c>
      <c r="B98" t="s">
        <v>9</v>
      </c>
      <c r="C98">
        <v>1</v>
      </c>
      <c r="D98" t="str">
        <f t="shared" ref="D98:D129" si="3">A98&amp;"-"&amp;B98&amp;"-"&amp;C98</f>
        <v>5-D-1</v>
      </c>
      <c r="F98">
        <v>1</v>
      </c>
      <c r="I98">
        <v>1</v>
      </c>
    </row>
    <row r="99" spans="1:15">
      <c r="A99">
        <v>5</v>
      </c>
      <c r="B99" t="s">
        <v>9</v>
      </c>
      <c r="C99">
        <v>2</v>
      </c>
      <c r="D99" t="str">
        <f t="shared" si="3"/>
        <v>5-D-2</v>
      </c>
      <c r="F99">
        <v>1</v>
      </c>
      <c r="I99">
        <v>1</v>
      </c>
    </row>
    <row r="100" spans="1:15">
      <c r="A100">
        <v>5</v>
      </c>
      <c r="B100" t="s">
        <v>9</v>
      </c>
      <c r="C100">
        <v>3</v>
      </c>
      <c r="D100" t="str">
        <f t="shared" si="3"/>
        <v>5-D-3</v>
      </c>
      <c r="F100">
        <v>1</v>
      </c>
      <c r="I100">
        <v>1</v>
      </c>
    </row>
    <row r="101" spans="1:15">
      <c r="A101">
        <v>5</v>
      </c>
      <c r="B101" t="s">
        <v>11</v>
      </c>
      <c r="C101">
        <v>1</v>
      </c>
      <c r="D101" t="str">
        <f t="shared" si="3"/>
        <v>5-F-1</v>
      </c>
      <c r="H101">
        <v>1</v>
      </c>
      <c r="O101">
        <v>1</v>
      </c>
    </row>
    <row r="102" spans="1:15">
      <c r="A102">
        <v>5</v>
      </c>
      <c r="B102" t="s">
        <v>11</v>
      </c>
      <c r="C102">
        <v>2</v>
      </c>
      <c r="D102" t="str">
        <f t="shared" si="3"/>
        <v>5-F-2</v>
      </c>
      <c r="E102">
        <v>1</v>
      </c>
    </row>
    <row r="103" spans="1:15">
      <c r="A103">
        <v>5</v>
      </c>
      <c r="B103" t="s">
        <v>11</v>
      </c>
      <c r="C103">
        <v>3</v>
      </c>
      <c r="D103" t="str">
        <f t="shared" si="3"/>
        <v>5-F-3</v>
      </c>
      <c r="E103">
        <v>1</v>
      </c>
    </row>
    <row r="104" spans="1:15">
      <c r="A104">
        <v>5</v>
      </c>
      <c r="B104" t="s">
        <v>12</v>
      </c>
      <c r="C104">
        <v>1</v>
      </c>
      <c r="D104" t="str">
        <f t="shared" si="3"/>
        <v>5-G-1</v>
      </c>
      <c r="H104">
        <v>1</v>
      </c>
      <c r="O104">
        <v>1</v>
      </c>
    </row>
    <row r="105" spans="1:15">
      <c r="A105">
        <v>5</v>
      </c>
      <c r="B105" t="s">
        <v>12</v>
      </c>
      <c r="C105">
        <v>2</v>
      </c>
      <c r="D105" t="str">
        <f t="shared" si="3"/>
        <v>5-G-2</v>
      </c>
      <c r="F105">
        <v>1</v>
      </c>
      <c r="L105">
        <v>1</v>
      </c>
    </row>
    <row r="106" spans="1:15">
      <c r="A106">
        <v>5</v>
      </c>
      <c r="B106" t="s">
        <v>12</v>
      </c>
      <c r="C106">
        <v>3</v>
      </c>
      <c r="D106" t="str">
        <f t="shared" si="3"/>
        <v>5-G-3</v>
      </c>
      <c r="H106">
        <v>1</v>
      </c>
    </row>
    <row r="107" spans="1:15">
      <c r="A107">
        <v>5</v>
      </c>
      <c r="B107" t="s">
        <v>14</v>
      </c>
      <c r="C107">
        <v>1</v>
      </c>
      <c r="D107" t="str">
        <f t="shared" si="3"/>
        <v>5-I-1</v>
      </c>
      <c r="H107">
        <v>1</v>
      </c>
      <c r="N107">
        <v>1</v>
      </c>
    </row>
    <row r="108" spans="1:15">
      <c r="A108">
        <v>5</v>
      </c>
      <c r="B108" t="s">
        <v>14</v>
      </c>
      <c r="C108">
        <v>2</v>
      </c>
      <c r="D108" t="str">
        <f t="shared" si="3"/>
        <v>5-I-2</v>
      </c>
      <c r="H108">
        <v>1</v>
      </c>
      <c r="M108">
        <v>1</v>
      </c>
      <c r="O108">
        <v>1</v>
      </c>
    </row>
    <row r="109" spans="1:15">
      <c r="A109">
        <v>5</v>
      </c>
      <c r="B109" t="s">
        <v>14</v>
      </c>
      <c r="C109">
        <v>3</v>
      </c>
      <c r="D109" t="str">
        <f t="shared" si="3"/>
        <v>5-I-3</v>
      </c>
      <c r="F109">
        <v>1</v>
      </c>
    </row>
    <row r="110" spans="1:15">
      <c r="A110">
        <v>6</v>
      </c>
      <c r="B110" t="s">
        <v>6</v>
      </c>
      <c r="C110">
        <v>1</v>
      </c>
      <c r="D110" t="str">
        <f t="shared" si="3"/>
        <v>6-A-1</v>
      </c>
      <c r="F110">
        <v>1</v>
      </c>
    </row>
    <row r="111" spans="1:15">
      <c r="A111">
        <v>6</v>
      </c>
      <c r="B111" t="s">
        <v>6</v>
      </c>
      <c r="C111">
        <v>2</v>
      </c>
      <c r="D111" t="str">
        <f t="shared" si="3"/>
        <v>6-A-2</v>
      </c>
      <c r="F111">
        <v>1</v>
      </c>
    </row>
    <row r="112" spans="1:15">
      <c r="A112">
        <v>6</v>
      </c>
      <c r="B112" t="s">
        <v>6</v>
      </c>
      <c r="C112">
        <v>3</v>
      </c>
      <c r="D112" t="str">
        <f t="shared" si="3"/>
        <v>6-A-3</v>
      </c>
      <c r="F112">
        <v>1</v>
      </c>
    </row>
    <row r="113" spans="1:15">
      <c r="A113">
        <v>6</v>
      </c>
      <c r="B113" t="s">
        <v>8</v>
      </c>
      <c r="C113">
        <v>1</v>
      </c>
      <c r="D113" t="str">
        <f t="shared" si="3"/>
        <v>6-C-1</v>
      </c>
      <c r="F113">
        <v>1</v>
      </c>
    </row>
    <row r="114" spans="1:15">
      <c r="A114">
        <v>6</v>
      </c>
      <c r="B114" t="s">
        <v>8</v>
      </c>
      <c r="C114">
        <v>2</v>
      </c>
      <c r="D114" t="str">
        <f t="shared" si="3"/>
        <v>6-C-2</v>
      </c>
      <c r="F114">
        <v>1</v>
      </c>
    </row>
    <row r="115" spans="1:15">
      <c r="A115">
        <v>6</v>
      </c>
      <c r="B115" t="s">
        <v>8</v>
      </c>
      <c r="C115">
        <v>3</v>
      </c>
      <c r="D115" t="str">
        <f t="shared" si="3"/>
        <v>6-C-3</v>
      </c>
      <c r="H115">
        <v>1</v>
      </c>
      <c r="O115">
        <v>1</v>
      </c>
    </row>
    <row r="116" spans="1:15">
      <c r="A116">
        <v>6</v>
      </c>
      <c r="B116" t="s">
        <v>9</v>
      </c>
      <c r="C116">
        <v>1</v>
      </c>
      <c r="D116" t="str">
        <f t="shared" si="3"/>
        <v>6-D-1</v>
      </c>
      <c r="F116">
        <v>1</v>
      </c>
    </row>
    <row r="117" spans="1:15">
      <c r="A117">
        <v>6</v>
      </c>
      <c r="B117" t="s">
        <v>9</v>
      </c>
      <c r="C117">
        <v>2</v>
      </c>
      <c r="D117" t="str">
        <f t="shared" si="3"/>
        <v>6-D-2</v>
      </c>
      <c r="H117">
        <v>1</v>
      </c>
      <c r="L117">
        <v>1</v>
      </c>
    </row>
    <row r="118" spans="1:15">
      <c r="A118">
        <v>6</v>
      </c>
      <c r="B118" t="s">
        <v>9</v>
      </c>
      <c r="C118">
        <v>3</v>
      </c>
      <c r="D118" t="str">
        <f t="shared" si="3"/>
        <v>6-D-3</v>
      </c>
      <c r="H118">
        <v>1</v>
      </c>
      <c r="L118">
        <v>1</v>
      </c>
    </row>
    <row r="119" spans="1:15">
      <c r="A119">
        <v>6</v>
      </c>
      <c r="B119" t="s">
        <v>11</v>
      </c>
      <c r="C119">
        <v>1</v>
      </c>
      <c r="D119" t="str">
        <f t="shared" si="3"/>
        <v>6-F-1</v>
      </c>
      <c r="F119">
        <v>1</v>
      </c>
    </row>
    <row r="120" spans="1:15">
      <c r="A120">
        <v>6</v>
      </c>
      <c r="B120" t="s">
        <v>11</v>
      </c>
      <c r="C120">
        <v>2</v>
      </c>
      <c r="D120" t="str">
        <f t="shared" si="3"/>
        <v>6-F-2</v>
      </c>
      <c r="H120">
        <v>1</v>
      </c>
      <c r="O120">
        <v>1</v>
      </c>
    </row>
    <row r="121" spans="1:15">
      <c r="A121">
        <v>6</v>
      </c>
      <c r="B121" t="s">
        <v>11</v>
      </c>
      <c r="C121">
        <v>3</v>
      </c>
      <c r="D121" t="str">
        <f t="shared" si="3"/>
        <v>6-F-3</v>
      </c>
      <c r="F121">
        <v>1</v>
      </c>
    </row>
    <row r="122" spans="1:15">
      <c r="A122">
        <v>6</v>
      </c>
      <c r="B122" t="s">
        <v>12</v>
      </c>
      <c r="C122">
        <v>1</v>
      </c>
      <c r="D122" t="str">
        <f t="shared" si="3"/>
        <v>6-G-1</v>
      </c>
      <c r="H122">
        <v>1</v>
      </c>
      <c r="L122">
        <v>1</v>
      </c>
    </row>
    <row r="123" spans="1:15">
      <c r="A123">
        <v>6</v>
      </c>
      <c r="B123" t="s">
        <v>12</v>
      </c>
      <c r="C123">
        <v>2</v>
      </c>
      <c r="D123" t="str">
        <f t="shared" si="3"/>
        <v>6-G-2</v>
      </c>
      <c r="H123">
        <v>1</v>
      </c>
      <c r="L123">
        <v>1</v>
      </c>
      <c r="M123">
        <v>1</v>
      </c>
    </row>
    <row r="124" spans="1:15">
      <c r="A124">
        <v>6</v>
      </c>
      <c r="B124" t="s">
        <v>12</v>
      </c>
      <c r="C124">
        <v>3</v>
      </c>
      <c r="D124" t="str">
        <f t="shared" si="3"/>
        <v>6-G-3</v>
      </c>
      <c r="H124">
        <v>1</v>
      </c>
      <c r="L124">
        <v>1</v>
      </c>
    </row>
    <row r="125" spans="1:15">
      <c r="A125">
        <v>6</v>
      </c>
      <c r="B125" t="s">
        <v>14</v>
      </c>
      <c r="C125">
        <v>1</v>
      </c>
      <c r="D125" t="str">
        <f t="shared" si="3"/>
        <v>6-I-1</v>
      </c>
      <c r="F125">
        <v>1</v>
      </c>
    </row>
    <row r="126" spans="1:15">
      <c r="A126">
        <v>6</v>
      </c>
      <c r="B126" t="s">
        <v>14</v>
      </c>
      <c r="C126">
        <v>2</v>
      </c>
      <c r="D126" t="str">
        <f t="shared" si="3"/>
        <v>6-I-2</v>
      </c>
      <c r="H126">
        <v>1</v>
      </c>
      <c r="L126">
        <v>1</v>
      </c>
    </row>
    <row r="127" spans="1:15">
      <c r="A127">
        <v>6</v>
      </c>
      <c r="B127" t="s">
        <v>14</v>
      </c>
      <c r="C127">
        <v>3</v>
      </c>
      <c r="D127" t="str">
        <f t="shared" si="3"/>
        <v>6-I-3</v>
      </c>
      <c r="H127">
        <v>1</v>
      </c>
      <c r="L127">
        <v>1</v>
      </c>
    </row>
    <row r="128" spans="1:15">
      <c r="A128">
        <v>7</v>
      </c>
      <c r="B128" t="s">
        <v>6</v>
      </c>
      <c r="C128">
        <v>1</v>
      </c>
      <c r="D128" t="str">
        <f t="shared" si="3"/>
        <v>7-A-1</v>
      </c>
      <c r="F128">
        <v>1</v>
      </c>
    </row>
    <row r="129" spans="1:16">
      <c r="A129">
        <v>7</v>
      </c>
      <c r="B129" t="s">
        <v>6</v>
      </c>
      <c r="C129">
        <v>2</v>
      </c>
      <c r="D129" t="str">
        <f t="shared" si="3"/>
        <v>7-A-2</v>
      </c>
      <c r="G129">
        <v>1</v>
      </c>
      <c r="P129">
        <v>1</v>
      </c>
    </row>
    <row r="130" spans="1:16">
      <c r="A130">
        <v>7</v>
      </c>
      <c r="B130" t="s">
        <v>6</v>
      </c>
      <c r="C130">
        <v>3</v>
      </c>
      <c r="D130" t="str">
        <f t="shared" ref="D130:D161" si="4">A130&amp;"-"&amp;B130&amp;"-"&amp;C130</f>
        <v>7-A-3</v>
      </c>
      <c r="G130">
        <v>1</v>
      </c>
      <c r="P130">
        <v>1</v>
      </c>
    </row>
    <row r="131" spans="1:16">
      <c r="A131">
        <v>7</v>
      </c>
      <c r="B131" t="s">
        <v>8</v>
      </c>
      <c r="C131">
        <v>1</v>
      </c>
      <c r="D131" t="str">
        <f t="shared" si="4"/>
        <v>7-C-1</v>
      </c>
      <c r="F131">
        <v>1</v>
      </c>
    </row>
    <row r="132" spans="1:16">
      <c r="A132">
        <v>7</v>
      </c>
      <c r="B132" t="s">
        <v>8</v>
      </c>
      <c r="C132">
        <v>2</v>
      </c>
      <c r="D132" t="str">
        <f t="shared" si="4"/>
        <v>7-C-2</v>
      </c>
      <c r="F132">
        <v>1</v>
      </c>
    </row>
    <row r="133" spans="1:16">
      <c r="A133">
        <v>7</v>
      </c>
      <c r="B133" t="s">
        <v>8</v>
      </c>
      <c r="C133">
        <v>3</v>
      </c>
      <c r="D133" t="str">
        <f t="shared" si="4"/>
        <v>7-C-3</v>
      </c>
      <c r="G133">
        <v>1</v>
      </c>
      <c r="P133">
        <v>1</v>
      </c>
    </row>
    <row r="134" spans="1:16">
      <c r="A134">
        <v>7</v>
      </c>
      <c r="B134" t="s">
        <v>9</v>
      </c>
      <c r="C134">
        <v>1</v>
      </c>
      <c r="D134" t="str">
        <f t="shared" si="4"/>
        <v>7-D-1</v>
      </c>
      <c r="H134">
        <v>1</v>
      </c>
      <c r="O134">
        <v>1</v>
      </c>
    </row>
    <row r="135" spans="1:16">
      <c r="A135">
        <v>7</v>
      </c>
      <c r="B135" t="s">
        <v>9</v>
      </c>
      <c r="C135">
        <v>2</v>
      </c>
      <c r="D135" t="str">
        <f t="shared" si="4"/>
        <v>7-D-2</v>
      </c>
      <c r="H135">
        <v>1</v>
      </c>
      <c r="L135">
        <v>1</v>
      </c>
    </row>
    <row r="136" spans="1:16">
      <c r="A136">
        <v>7</v>
      </c>
      <c r="B136" t="s">
        <v>9</v>
      </c>
      <c r="C136">
        <v>3</v>
      </c>
      <c r="D136" t="str">
        <f t="shared" si="4"/>
        <v>7-D-3</v>
      </c>
      <c r="H136">
        <v>1</v>
      </c>
      <c r="L136">
        <v>1</v>
      </c>
    </row>
    <row r="137" spans="1:16">
      <c r="A137">
        <v>7</v>
      </c>
      <c r="B137" t="s">
        <v>11</v>
      </c>
      <c r="C137">
        <v>1</v>
      </c>
      <c r="D137" t="str">
        <f t="shared" si="4"/>
        <v>7-F-1</v>
      </c>
      <c r="G137">
        <v>1</v>
      </c>
      <c r="P137">
        <v>1</v>
      </c>
    </row>
    <row r="138" spans="1:16">
      <c r="A138">
        <v>7</v>
      </c>
      <c r="B138" t="s">
        <v>11</v>
      </c>
      <c r="C138">
        <v>2</v>
      </c>
      <c r="D138" t="str">
        <f t="shared" si="4"/>
        <v>7-F-2</v>
      </c>
      <c r="H138">
        <v>1</v>
      </c>
      <c r="N138">
        <v>1</v>
      </c>
    </row>
    <row r="139" spans="1:16">
      <c r="A139">
        <v>7</v>
      </c>
      <c r="B139" t="s">
        <v>11</v>
      </c>
      <c r="C139">
        <v>3</v>
      </c>
      <c r="D139" t="str">
        <f t="shared" si="4"/>
        <v>7-F-3</v>
      </c>
      <c r="F139">
        <v>1</v>
      </c>
      <c r="I139">
        <v>1</v>
      </c>
    </row>
    <row r="140" spans="1:16">
      <c r="A140">
        <v>7</v>
      </c>
      <c r="B140" t="s">
        <v>12</v>
      </c>
      <c r="C140">
        <v>1</v>
      </c>
      <c r="D140" t="str">
        <f t="shared" si="4"/>
        <v>7-G-1</v>
      </c>
      <c r="H140">
        <v>1</v>
      </c>
      <c r="O140">
        <v>1</v>
      </c>
    </row>
    <row r="141" spans="1:16">
      <c r="A141">
        <v>7</v>
      </c>
      <c r="B141" t="s">
        <v>12</v>
      </c>
      <c r="C141">
        <v>2</v>
      </c>
      <c r="D141" t="str">
        <f t="shared" si="4"/>
        <v>7-G-2</v>
      </c>
      <c r="F141">
        <v>1</v>
      </c>
    </row>
    <row r="142" spans="1:16">
      <c r="A142">
        <v>7</v>
      </c>
      <c r="B142" t="s">
        <v>12</v>
      </c>
      <c r="C142">
        <v>3</v>
      </c>
      <c r="D142" t="str">
        <f t="shared" si="4"/>
        <v>7-G-3</v>
      </c>
      <c r="F142">
        <v>1</v>
      </c>
    </row>
    <row r="143" spans="1:16">
      <c r="A143">
        <v>7</v>
      </c>
      <c r="B143" t="s">
        <v>14</v>
      </c>
      <c r="C143">
        <v>1</v>
      </c>
      <c r="D143" t="str">
        <f t="shared" si="4"/>
        <v>7-I-1</v>
      </c>
      <c r="H143">
        <v>1</v>
      </c>
      <c r="K143">
        <v>1</v>
      </c>
    </row>
    <row r="144" spans="1:16">
      <c r="A144">
        <v>7</v>
      </c>
      <c r="B144" t="s">
        <v>14</v>
      </c>
      <c r="C144">
        <v>2</v>
      </c>
      <c r="D144" t="str">
        <f t="shared" si="4"/>
        <v>7-I-2</v>
      </c>
      <c r="H144">
        <v>1</v>
      </c>
      <c r="M144">
        <v>1</v>
      </c>
      <c r="O144">
        <v>1</v>
      </c>
    </row>
    <row r="145" spans="1:16">
      <c r="A145">
        <v>7</v>
      </c>
      <c r="B145" t="s">
        <v>14</v>
      </c>
      <c r="C145">
        <v>3</v>
      </c>
      <c r="D145" t="str">
        <f t="shared" si="4"/>
        <v>7-I-3</v>
      </c>
      <c r="H145">
        <v>1</v>
      </c>
      <c r="K145">
        <v>1</v>
      </c>
    </row>
    <row r="146" spans="1:16">
      <c r="A146">
        <v>8</v>
      </c>
      <c r="B146" t="s">
        <v>6</v>
      </c>
      <c r="C146">
        <v>1</v>
      </c>
      <c r="D146" t="str">
        <f t="shared" si="4"/>
        <v>8-A-1</v>
      </c>
      <c r="H146">
        <v>1</v>
      </c>
      <c r="L146">
        <v>1</v>
      </c>
    </row>
    <row r="147" spans="1:16">
      <c r="A147">
        <v>8</v>
      </c>
      <c r="B147" t="s">
        <v>6</v>
      </c>
      <c r="C147">
        <v>2</v>
      </c>
      <c r="D147" t="str">
        <f t="shared" si="4"/>
        <v>8-A-2</v>
      </c>
      <c r="H147">
        <v>1</v>
      </c>
      <c r="L147">
        <v>1</v>
      </c>
    </row>
    <row r="148" spans="1:16">
      <c r="A148">
        <v>8</v>
      </c>
      <c r="B148" t="s">
        <v>6</v>
      </c>
      <c r="C148">
        <v>3</v>
      </c>
      <c r="D148" t="str">
        <f t="shared" si="4"/>
        <v>8-A-3</v>
      </c>
      <c r="H148">
        <v>1</v>
      </c>
      <c r="L148">
        <v>1</v>
      </c>
    </row>
    <row r="149" spans="1:16">
      <c r="A149">
        <v>8</v>
      </c>
      <c r="B149" t="s">
        <v>8</v>
      </c>
      <c r="C149">
        <v>1</v>
      </c>
      <c r="D149" t="str">
        <f t="shared" si="4"/>
        <v>8-C-1</v>
      </c>
      <c r="H149">
        <v>1</v>
      </c>
      <c r="O149">
        <v>1</v>
      </c>
    </row>
    <row r="150" spans="1:16">
      <c r="A150">
        <v>8</v>
      </c>
      <c r="B150" t="s">
        <v>8</v>
      </c>
      <c r="C150">
        <v>2</v>
      </c>
      <c r="D150" t="str">
        <f t="shared" si="4"/>
        <v>8-C-2</v>
      </c>
      <c r="H150">
        <v>1</v>
      </c>
      <c r="L150">
        <v>1</v>
      </c>
    </row>
    <row r="151" spans="1:16">
      <c r="A151">
        <v>8</v>
      </c>
      <c r="B151" t="s">
        <v>8</v>
      </c>
      <c r="C151">
        <v>3</v>
      </c>
      <c r="D151" t="str">
        <f t="shared" si="4"/>
        <v>8-C-3</v>
      </c>
      <c r="F151">
        <v>1</v>
      </c>
    </row>
    <row r="152" spans="1:16">
      <c r="A152">
        <v>8</v>
      </c>
      <c r="B152" t="s">
        <v>9</v>
      </c>
      <c r="C152">
        <v>1</v>
      </c>
      <c r="D152" t="str">
        <f t="shared" si="4"/>
        <v>8-D-1</v>
      </c>
      <c r="H152">
        <v>1</v>
      </c>
      <c r="L152">
        <v>1</v>
      </c>
    </row>
    <row r="153" spans="1:16">
      <c r="A153">
        <v>8</v>
      </c>
      <c r="B153" t="s">
        <v>9</v>
      </c>
      <c r="C153">
        <v>2</v>
      </c>
      <c r="D153" t="str">
        <f t="shared" si="4"/>
        <v>8-D-2</v>
      </c>
      <c r="H153">
        <v>1</v>
      </c>
      <c r="L153">
        <v>1</v>
      </c>
    </row>
    <row r="154" spans="1:16">
      <c r="A154">
        <v>8</v>
      </c>
      <c r="B154" t="s">
        <v>9</v>
      </c>
      <c r="C154">
        <v>3</v>
      </c>
      <c r="D154" t="str">
        <f t="shared" si="4"/>
        <v>8-D-3</v>
      </c>
      <c r="G154">
        <v>1</v>
      </c>
      <c r="P154">
        <v>1</v>
      </c>
    </row>
    <row r="155" spans="1:16">
      <c r="A155">
        <v>8</v>
      </c>
      <c r="B155" t="s">
        <v>11</v>
      </c>
      <c r="C155">
        <v>1</v>
      </c>
      <c r="D155" t="str">
        <f t="shared" si="4"/>
        <v>8-F-1</v>
      </c>
      <c r="H155">
        <v>1</v>
      </c>
      <c r="L155">
        <v>1</v>
      </c>
    </row>
    <row r="156" spans="1:16">
      <c r="A156">
        <v>8</v>
      </c>
      <c r="B156" t="s">
        <v>11</v>
      </c>
      <c r="C156">
        <v>2</v>
      </c>
      <c r="D156" t="str">
        <f t="shared" si="4"/>
        <v>8-F-2</v>
      </c>
      <c r="H156">
        <v>1</v>
      </c>
      <c r="L156">
        <v>1</v>
      </c>
    </row>
    <row r="157" spans="1:16">
      <c r="A157">
        <v>8</v>
      </c>
      <c r="B157" t="s">
        <v>11</v>
      </c>
      <c r="C157">
        <v>3</v>
      </c>
      <c r="D157" t="str">
        <f t="shared" si="4"/>
        <v>8-F-3</v>
      </c>
      <c r="H157">
        <v>1</v>
      </c>
      <c r="L157">
        <v>1</v>
      </c>
    </row>
    <row r="158" spans="1:16">
      <c r="A158">
        <v>8</v>
      </c>
      <c r="B158" t="s">
        <v>12</v>
      </c>
      <c r="C158">
        <v>1</v>
      </c>
      <c r="D158" t="str">
        <f t="shared" si="4"/>
        <v>8-G-1</v>
      </c>
      <c r="H158">
        <v>1</v>
      </c>
      <c r="L158">
        <v>1</v>
      </c>
      <c r="M158">
        <v>1</v>
      </c>
    </row>
    <row r="159" spans="1:16">
      <c r="A159">
        <v>8</v>
      </c>
      <c r="B159" t="s">
        <v>12</v>
      </c>
      <c r="C159">
        <v>2</v>
      </c>
      <c r="D159" t="str">
        <f t="shared" si="4"/>
        <v>8-G-2</v>
      </c>
      <c r="H159">
        <v>1</v>
      </c>
      <c r="L159">
        <v>1</v>
      </c>
      <c r="M159">
        <v>1</v>
      </c>
    </row>
    <row r="160" spans="1:16">
      <c r="A160">
        <v>8</v>
      </c>
      <c r="B160" t="s">
        <v>12</v>
      </c>
      <c r="C160">
        <v>3</v>
      </c>
      <c r="D160" t="str">
        <f t="shared" si="4"/>
        <v>8-G-3</v>
      </c>
      <c r="H160">
        <v>1</v>
      </c>
      <c r="L160">
        <v>1</v>
      </c>
    </row>
    <row r="161" spans="1:16">
      <c r="A161">
        <v>8</v>
      </c>
      <c r="B161" t="s">
        <v>14</v>
      </c>
      <c r="C161">
        <v>1</v>
      </c>
      <c r="D161" t="str">
        <f t="shared" si="4"/>
        <v>8-I-1</v>
      </c>
      <c r="H161">
        <v>1</v>
      </c>
      <c r="J161">
        <v>1</v>
      </c>
    </row>
    <row r="162" spans="1:16">
      <c r="A162">
        <v>8</v>
      </c>
      <c r="B162" t="s">
        <v>14</v>
      </c>
      <c r="C162">
        <v>2</v>
      </c>
      <c r="D162" t="str">
        <f t="shared" ref="D162:D163" si="5">A162&amp;"-"&amp;B162&amp;"-"&amp;C162</f>
        <v>8-I-2</v>
      </c>
      <c r="H162">
        <v>1</v>
      </c>
      <c r="L162">
        <v>1</v>
      </c>
    </row>
    <row r="163" spans="1:16">
      <c r="A163">
        <v>8</v>
      </c>
      <c r="B163" t="s">
        <v>14</v>
      </c>
      <c r="C163">
        <v>3</v>
      </c>
      <c r="D163" t="str">
        <f t="shared" si="5"/>
        <v>8-I-3</v>
      </c>
      <c r="H163">
        <v>1</v>
      </c>
      <c r="L163">
        <v>1</v>
      </c>
    </row>
    <row r="164" spans="1:16">
      <c r="A164" t="s">
        <v>39</v>
      </c>
      <c r="B164" t="s">
        <v>39</v>
      </c>
      <c r="C164" t="s">
        <v>39</v>
      </c>
      <c r="D164" t="s">
        <v>39</v>
      </c>
      <c r="E164">
        <f>SUM(E2:E163)</f>
        <v>8</v>
      </c>
      <c r="F164">
        <f t="shared" ref="F164:P164" si="6">SUM(F2:F163)</f>
        <v>50</v>
      </c>
      <c r="G164">
        <f t="shared" si="6"/>
        <v>9</v>
      </c>
      <c r="H164">
        <f t="shared" si="6"/>
        <v>95</v>
      </c>
      <c r="I164">
        <f t="shared" si="6"/>
        <v>7</v>
      </c>
      <c r="J164">
        <f t="shared" si="6"/>
        <v>11</v>
      </c>
      <c r="K164">
        <f t="shared" si="6"/>
        <v>3</v>
      </c>
      <c r="L164">
        <f t="shared" si="6"/>
        <v>52</v>
      </c>
      <c r="M164">
        <f t="shared" si="6"/>
        <v>8</v>
      </c>
      <c r="N164">
        <f t="shared" si="6"/>
        <v>12</v>
      </c>
      <c r="O164">
        <f t="shared" si="6"/>
        <v>15</v>
      </c>
      <c r="P164">
        <f t="shared" si="6"/>
        <v>9</v>
      </c>
    </row>
  </sheetData>
  <autoFilter ref="A1:P1" xr:uid="{6EA6FE61-2AD5-4FBC-80A8-F40702C462E2}">
    <sortState xmlns:xlrd2="http://schemas.microsoft.com/office/spreadsheetml/2017/richdata2" ref="A2:P163">
      <sortCondition ref="A1"/>
    </sortState>
  </autoFilter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D890B-8382-4916-9D47-A549D6BE30BD}">
  <sheetPr>
    <tabColor theme="5" tint="-0.249977111117893"/>
  </sheetPr>
  <dimension ref="A1:O10"/>
  <sheetViews>
    <sheetView workbookViewId="0">
      <selection activeCell="H31" sqref="H31"/>
    </sheetView>
  </sheetViews>
  <sheetFormatPr defaultRowHeight="14.25"/>
  <cols>
    <col min="3" max="3" width="12.75" customWidth="1"/>
    <col min="4" max="4" width="17.5" customWidth="1"/>
    <col min="5" max="5" width="6.25" bestFit="1" customWidth="1"/>
    <col min="6" max="6" width="20.25" bestFit="1" customWidth="1"/>
    <col min="7" max="7" width="19.125" bestFit="1" customWidth="1"/>
    <col min="8" max="8" width="15.625" customWidth="1"/>
    <col min="9" max="9" width="18.25" customWidth="1"/>
    <col min="13" max="13" width="19.125" bestFit="1" customWidth="1"/>
    <col min="15" max="15" width="16" style="8" customWidth="1"/>
  </cols>
  <sheetData>
    <row r="1" spans="1:15">
      <c r="A1" s="24" t="s">
        <v>4</v>
      </c>
      <c r="B1" s="24" t="s">
        <v>0</v>
      </c>
      <c r="C1" s="24" t="s">
        <v>16</v>
      </c>
      <c r="D1" s="24" t="s">
        <v>23</v>
      </c>
      <c r="E1" s="24" t="s">
        <v>17</v>
      </c>
      <c r="F1" s="24" t="s">
        <v>19</v>
      </c>
      <c r="G1" s="24" t="s">
        <v>1</v>
      </c>
      <c r="H1" s="24" t="s">
        <v>22</v>
      </c>
      <c r="I1" s="24" t="s">
        <v>18</v>
      </c>
      <c r="J1" s="24" t="s">
        <v>20</v>
      </c>
      <c r="K1" s="24" t="s">
        <v>25</v>
      </c>
      <c r="L1" s="24" t="s">
        <v>21</v>
      </c>
      <c r="M1" s="24" t="s">
        <v>24</v>
      </c>
      <c r="N1" s="24" t="s">
        <v>35</v>
      </c>
      <c r="O1" s="25" t="s">
        <v>36</v>
      </c>
    </row>
    <row r="2" spans="1:15">
      <c r="A2">
        <v>1</v>
      </c>
      <c r="B2">
        <f>SUMIF(result_20260526!$A:$A,sum_orient_20260526!$A2,INDEX(result_20260526!$A:$Z,0,MATCH(sum_orient_20260526!B$1,result_20260526!$1:$1,0)))</f>
        <v>2</v>
      </c>
      <c r="C2">
        <f>SUMIF(result_20260526!$A:$A,sum_orient_20260526!$A2,INDEX(result_20260526!$A:$Z,0,MATCH(sum_orient_20260526!C$1,result_20260526!$1:$1,0)))</f>
        <v>4</v>
      </c>
      <c r="D2">
        <f>SUMIF(result_20260526!$A:$A,sum_orient_20260526!$A2,INDEX(result_20260526!$A:$Z,0,MATCH(sum_orient_20260526!D$1,result_20260526!$1:$1,0)))</f>
        <v>0</v>
      </c>
      <c r="E2">
        <f>SUMIF(result_20260526!$A:$A,sum_orient_20260526!$A2,INDEX(result_20260526!$A:$Z,0,MATCH(sum_orient_20260526!E$1,result_20260526!$1:$1,0)))</f>
        <v>21</v>
      </c>
      <c r="F2">
        <f>SUMIF(result_20260526!$A:$A,sum_orient_20260526!$A2,INDEX(result_20260526!$A:$Z,0,MATCH(sum_orient_20260526!F$1,result_20260526!$1:$1,0)))</f>
        <v>3</v>
      </c>
      <c r="G2">
        <f>SUMIF(result_20260526!$A:$A,sum_orient_20260526!$A2,INDEX(result_20260526!$A:$Z,0,MATCH(sum_orient_20260526!G$1,result_20260526!$1:$1,0)))</f>
        <v>0</v>
      </c>
      <c r="H2">
        <f>SUMIF(result_20260526!$A:$A,sum_orient_20260526!$A2,INDEX(result_20260526!$A:$Z,0,MATCH(sum_orient_20260526!H$1,result_20260526!$1:$1,0)))</f>
        <v>1</v>
      </c>
      <c r="I2">
        <f>SUMIF(result_20260526!$A:$A,sum_orient_20260526!$A2,INDEX(result_20260526!$A:$Z,0,MATCH(sum_orient_20260526!I$1,result_20260526!$1:$1,0)))</f>
        <v>16</v>
      </c>
      <c r="J2">
        <f>SUMIF(result_20260526!$A:$A,sum_orient_20260526!$A2,INDEX(result_20260526!$A:$Z,0,MATCH(sum_orient_20260526!J$1,result_20260526!$1:$1,0)))</f>
        <v>0</v>
      </c>
      <c r="K2">
        <f>SUMIF(result_20260526!$A:$A,sum_orient_20260526!$A2,INDEX(result_20260526!$A:$Z,0,MATCH(sum_orient_20260526!K$1,result_20260526!$1:$1,0)))</f>
        <v>0</v>
      </c>
      <c r="L2">
        <f>SUMIF(result_20260526!$A:$A,sum_orient_20260526!$A2,INDEX(result_20260526!$A:$Z,0,MATCH(sum_orient_20260526!L$1,result_20260526!$1:$1,0)))</f>
        <v>2</v>
      </c>
      <c r="M2">
        <f>SUMIF(result_20260526!$A:$A,sum_orient_20260526!$A2,INDEX(result_20260526!$A:$Z,0,MATCH(sum_orient_20260526!M$1,result_20260526!$1:$1,0)))</f>
        <v>0</v>
      </c>
      <c r="N2">
        <f>SUM(B2:E2)</f>
        <v>27</v>
      </c>
      <c r="O2" s="8">
        <f>SUM(B2+C2)/N2</f>
        <v>0.22222222222222221</v>
      </c>
    </row>
    <row r="3" spans="1:15">
      <c r="A3">
        <v>2</v>
      </c>
      <c r="B3">
        <f>SUMIF(result_20260526!$A:$A,sum_orient_20260526!$A3,INDEX(result_20260526!$A:$Z,0,MATCH(sum_orient_20260526!B$1,result_20260526!$1:$1,0)))</f>
        <v>0</v>
      </c>
      <c r="C3">
        <f>SUMIF(result_20260526!$A:$A,sum_orient_20260526!$A3,INDEX(result_20260526!$A:$Z,0,MATCH(sum_orient_20260526!C$1,result_20260526!$1:$1,0)))</f>
        <v>20</v>
      </c>
      <c r="D3">
        <f>SUMIF(result_20260526!$A:$A,sum_orient_20260526!$A3,INDEX(result_20260526!$A:$Z,0,MATCH(sum_orient_20260526!D$1,result_20260526!$1:$1,0)))</f>
        <v>3</v>
      </c>
      <c r="E3">
        <f>SUMIF(result_20260526!$A:$A,sum_orient_20260526!$A3,INDEX(result_20260526!$A:$Z,0,MATCH(sum_orient_20260526!E$1,result_20260526!$1:$1,0)))</f>
        <v>4</v>
      </c>
      <c r="F3">
        <f>SUMIF(result_20260526!$A:$A,sum_orient_20260526!$A3,INDEX(result_20260526!$A:$Z,0,MATCH(sum_orient_20260526!F$1,result_20260526!$1:$1,0)))</f>
        <v>0</v>
      </c>
      <c r="G3">
        <f>SUMIF(result_20260526!$A:$A,sum_orient_20260526!$A3,INDEX(result_20260526!$A:$Z,0,MATCH(sum_orient_20260526!G$1,result_20260526!$1:$1,0)))</f>
        <v>0</v>
      </c>
      <c r="H3">
        <f>SUMIF(result_20260526!$A:$A,sum_orient_20260526!$A3,INDEX(result_20260526!$A:$Z,0,MATCH(sum_orient_20260526!H$1,result_20260526!$1:$1,0)))</f>
        <v>0</v>
      </c>
      <c r="I3">
        <f>SUMIF(result_20260526!$A:$A,sum_orient_20260526!$A3,INDEX(result_20260526!$A:$Z,0,MATCH(sum_orient_20260526!I$1,result_20260526!$1:$1,0)))</f>
        <v>0</v>
      </c>
      <c r="J3">
        <f>SUMIF(result_20260526!$A:$A,sum_orient_20260526!$A3,INDEX(result_20260526!$A:$Z,0,MATCH(sum_orient_20260526!J$1,result_20260526!$1:$1,0)))</f>
        <v>0</v>
      </c>
      <c r="K3">
        <f>SUMIF(result_20260526!$A:$A,sum_orient_20260526!$A3,INDEX(result_20260526!$A:$Z,0,MATCH(sum_orient_20260526!K$1,result_20260526!$1:$1,0)))</f>
        <v>0</v>
      </c>
      <c r="L3">
        <f>SUMIF(result_20260526!$A:$A,sum_orient_20260526!$A3,INDEX(result_20260526!$A:$Z,0,MATCH(sum_orient_20260526!L$1,result_20260526!$1:$1,0)))</f>
        <v>4</v>
      </c>
      <c r="M3">
        <f>SUMIF(result_20260526!$A:$A,sum_orient_20260526!$A3,INDEX(result_20260526!$A:$Z,0,MATCH(sum_orient_20260526!M$1,result_20260526!$1:$1,0)))</f>
        <v>3</v>
      </c>
      <c r="N3">
        <f t="shared" ref="N3:N9" si="0">SUM(B3:E3)</f>
        <v>27</v>
      </c>
      <c r="O3" s="8">
        <f t="shared" ref="O3:O10" si="1">SUM(B3+C3)/N3</f>
        <v>0.7407407407407407</v>
      </c>
    </row>
    <row r="4" spans="1:15">
      <c r="A4">
        <v>3</v>
      </c>
      <c r="B4">
        <f>SUMIF(result_20260526!$A:$A,sum_orient_20260526!$A4,INDEX(result_20260526!$A:$Z,0,MATCH(sum_orient_20260526!B$1,result_20260526!$1:$1,0)))</f>
        <v>0</v>
      </c>
      <c r="C4">
        <f>SUMIF(result_20260526!$A:$A,sum_orient_20260526!$A4,INDEX(result_20260526!$A:$Z,0,MATCH(sum_orient_20260526!C$1,result_20260526!$1:$1,0)))</f>
        <v>1</v>
      </c>
      <c r="D4">
        <f>SUMIF(result_20260526!$A:$A,sum_orient_20260526!$A4,INDEX(result_20260526!$A:$Z,0,MATCH(sum_orient_20260526!D$1,result_20260526!$1:$1,0)))</f>
        <v>0</v>
      </c>
      <c r="E4">
        <f>SUMIF(result_20260526!$A:$A,sum_orient_20260526!$A4,INDEX(result_20260526!$A:$Z,0,MATCH(sum_orient_20260526!E$1,result_20260526!$1:$1,0)))</f>
        <v>17</v>
      </c>
      <c r="F4">
        <f>SUMIF(result_20260526!$A:$A,sum_orient_20260526!$A4,INDEX(result_20260526!$A:$Z,0,MATCH(sum_orient_20260526!F$1,result_20260526!$1:$1,0)))</f>
        <v>0</v>
      </c>
      <c r="G4">
        <f>SUMIF(result_20260526!$A:$A,sum_orient_20260526!$A4,INDEX(result_20260526!$A:$Z,0,MATCH(sum_orient_20260526!G$1,result_20260526!$1:$1,0)))</f>
        <v>10</v>
      </c>
      <c r="H4">
        <f>SUMIF(result_20260526!$A:$A,sum_orient_20260526!$A4,INDEX(result_20260526!$A:$Z,0,MATCH(sum_orient_20260526!H$1,result_20260526!$1:$1,0)))</f>
        <v>0</v>
      </c>
      <c r="I4">
        <f>SUMIF(result_20260526!$A:$A,sum_orient_20260526!$A4,INDEX(result_20260526!$A:$Z,0,MATCH(sum_orient_20260526!I$1,result_20260526!$1:$1,0)))</f>
        <v>0</v>
      </c>
      <c r="J4">
        <f>SUMIF(result_20260526!$A:$A,sum_orient_20260526!$A4,INDEX(result_20260526!$A:$Z,0,MATCH(sum_orient_20260526!J$1,result_20260526!$1:$1,0)))</f>
        <v>1</v>
      </c>
      <c r="K4">
        <f>SUMIF(result_20260526!$A:$A,sum_orient_20260526!$A4,INDEX(result_20260526!$A:$Z,0,MATCH(sum_orient_20260526!K$1,result_20260526!$1:$1,0)))</f>
        <v>7</v>
      </c>
      <c r="L4">
        <f>SUMIF(result_20260526!$A:$A,sum_orient_20260526!$A4,INDEX(result_20260526!$A:$Z,0,MATCH(sum_orient_20260526!L$1,result_20260526!$1:$1,0)))</f>
        <v>0</v>
      </c>
      <c r="M4">
        <f>SUMIF(result_20260526!$A:$A,sum_orient_20260526!$A4,INDEX(result_20260526!$A:$Z,0,MATCH(sum_orient_20260526!M$1,result_20260526!$1:$1,0)))</f>
        <v>0</v>
      </c>
      <c r="N4">
        <f t="shared" si="0"/>
        <v>18</v>
      </c>
      <c r="O4" s="8">
        <f t="shared" si="1"/>
        <v>5.5555555555555552E-2</v>
      </c>
    </row>
    <row r="5" spans="1:15">
      <c r="A5">
        <v>4</v>
      </c>
      <c r="B5">
        <f>SUMIF(result_20260526!$A:$A,sum_orient_20260526!$A5,INDEX(result_20260526!$A:$Z,0,MATCH(sum_orient_20260526!B$1,result_20260526!$1:$1,0)))</f>
        <v>2</v>
      </c>
      <c r="C5">
        <f>SUMIF(result_20260526!$A:$A,sum_orient_20260526!$A5,INDEX(result_20260526!$A:$Z,0,MATCH(sum_orient_20260526!C$1,result_20260526!$1:$1,0)))</f>
        <v>3</v>
      </c>
      <c r="D5">
        <f>SUMIF(result_20260526!$A:$A,sum_orient_20260526!$A5,INDEX(result_20260526!$A:$Z,0,MATCH(sum_orient_20260526!D$1,result_20260526!$1:$1,0)))</f>
        <v>0</v>
      </c>
      <c r="E5">
        <f>SUMIF(result_20260526!$A:$A,sum_orient_20260526!$A5,INDEX(result_20260526!$A:$Z,0,MATCH(sum_orient_20260526!E$1,result_20260526!$1:$1,0)))</f>
        <v>13</v>
      </c>
      <c r="F5">
        <f>SUMIF(result_20260526!$A:$A,sum_orient_20260526!$A5,INDEX(result_20260526!$A:$Z,0,MATCH(sum_orient_20260526!F$1,result_20260526!$1:$1,0)))</f>
        <v>0</v>
      </c>
      <c r="G5">
        <f>SUMIF(result_20260526!$A:$A,sum_orient_20260526!$A5,INDEX(result_20260526!$A:$Z,0,MATCH(sum_orient_20260526!G$1,result_20260526!$1:$1,0)))</f>
        <v>0</v>
      </c>
      <c r="H5">
        <f>SUMIF(result_20260526!$A:$A,sum_orient_20260526!$A5,INDEX(result_20260526!$A:$Z,0,MATCH(sum_orient_20260526!H$1,result_20260526!$1:$1,0)))</f>
        <v>0</v>
      </c>
      <c r="I5">
        <f>SUMIF(result_20260526!$A:$A,sum_orient_20260526!$A5,INDEX(result_20260526!$A:$Z,0,MATCH(sum_orient_20260526!I$1,result_20260526!$1:$1,0)))</f>
        <v>10</v>
      </c>
      <c r="J5">
        <f>SUMIF(result_20260526!$A:$A,sum_orient_20260526!$A5,INDEX(result_20260526!$A:$Z,0,MATCH(sum_orient_20260526!J$1,result_20260526!$1:$1,0)))</f>
        <v>2</v>
      </c>
      <c r="K5">
        <f>SUMIF(result_20260526!$A:$A,sum_orient_20260526!$A5,INDEX(result_20260526!$A:$Z,0,MATCH(sum_orient_20260526!K$1,result_20260526!$1:$1,0)))</f>
        <v>3</v>
      </c>
      <c r="L5">
        <f>SUMIF(result_20260526!$A:$A,sum_orient_20260526!$A5,INDEX(result_20260526!$A:$Z,0,MATCH(sum_orient_20260526!L$1,result_20260526!$1:$1,0)))</f>
        <v>0</v>
      </c>
      <c r="M5">
        <f>SUMIF(result_20260526!$A:$A,sum_orient_20260526!$A5,INDEX(result_20260526!$A:$Z,0,MATCH(sum_orient_20260526!M$1,result_20260526!$1:$1,0)))</f>
        <v>0</v>
      </c>
      <c r="N5">
        <f t="shared" si="0"/>
        <v>18</v>
      </c>
      <c r="O5" s="8">
        <f t="shared" si="1"/>
        <v>0.27777777777777779</v>
      </c>
    </row>
    <row r="6" spans="1:15">
      <c r="A6">
        <v>5</v>
      </c>
      <c r="B6">
        <f>SUMIF(result_20260526!$A:$A,sum_orient_20260526!$A6,INDEX(result_20260526!$A:$Z,0,MATCH(sum_orient_20260526!B$1,result_20260526!$1:$1,0)))</f>
        <v>4</v>
      </c>
      <c r="C6">
        <f>SUMIF(result_20260526!$A:$A,sum_orient_20260526!$A6,INDEX(result_20260526!$A:$Z,0,MATCH(sum_orient_20260526!C$1,result_20260526!$1:$1,0)))</f>
        <v>6</v>
      </c>
      <c r="D6">
        <f>SUMIF(result_20260526!$A:$A,sum_orient_20260526!$A6,INDEX(result_20260526!$A:$Z,0,MATCH(sum_orient_20260526!D$1,result_20260526!$1:$1,0)))</f>
        <v>1</v>
      </c>
      <c r="E6">
        <f>SUMIF(result_20260526!$A:$A,sum_orient_20260526!$A6,INDEX(result_20260526!$A:$Z,0,MATCH(sum_orient_20260526!E$1,result_20260526!$1:$1,0)))</f>
        <v>7</v>
      </c>
      <c r="F6">
        <f>SUMIF(result_20260526!$A:$A,sum_orient_20260526!$A6,INDEX(result_20260526!$A:$Z,0,MATCH(sum_orient_20260526!F$1,result_20260526!$1:$1,0)))</f>
        <v>3</v>
      </c>
      <c r="G6">
        <f>SUMIF(result_20260526!$A:$A,sum_orient_20260526!$A6,INDEX(result_20260526!$A:$Z,0,MATCH(sum_orient_20260526!G$1,result_20260526!$1:$1,0)))</f>
        <v>0</v>
      </c>
      <c r="H6">
        <f>SUMIF(result_20260526!$A:$A,sum_orient_20260526!$A6,INDEX(result_20260526!$A:$Z,0,MATCH(sum_orient_20260526!H$1,result_20260526!$1:$1,0)))</f>
        <v>0</v>
      </c>
      <c r="I6">
        <f>SUMIF(result_20260526!$A:$A,sum_orient_20260526!$A6,INDEX(result_20260526!$A:$Z,0,MATCH(sum_orient_20260526!I$1,result_20260526!$1:$1,0)))</f>
        <v>3</v>
      </c>
      <c r="J6">
        <f>SUMIF(result_20260526!$A:$A,sum_orient_20260526!$A6,INDEX(result_20260526!$A:$Z,0,MATCH(sum_orient_20260526!J$1,result_20260526!$1:$1,0)))</f>
        <v>1</v>
      </c>
      <c r="K6">
        <f>SUMIF(result_20260526!$A:$A,sum_orient_20260526!$A6,INDEX(result_20260526!$A:$Z,0,MATCH(sum_orient_20260526!K$1,result_20260526!$1:$1,0)))</f>
        <v>1</v>
      </c>
      <c r="L6">
        <f>SUMIF(result_20260526!$A:$A,sum_orient_20260526!$A6,INDEX(result_20260526!$A:$Z,0,MATCH(sum_orient_20260526!L$1,result_20260526!$1:$1,0)))</f>
        <v>3</v>
      </c>
      <c r="M6">
        <f>SUMIF(result_20260526!$A:$A,sum_orient_20260526!$A6,INDEX(result_20260526!$A:$Z,0,MATCH(sum_orient_20260526!M$1,result_20260526!$1:$1,0)))</f>
        <v>1</v>
      </c>
      <c r="N6">
        <f t="shared" si="0"/>
        <v>18</v>
      </c>
      <c r="O6" s="8">
        <f t="shared" si="1"/>
        <v>0.55555555555555558</v>
      </c>
    </row>
    <row r="7" spans="1:15">
      <c r="A7">
        <v>6</v>
      </c>
      <c r="B7">
        <f>SUMIF(result_20260526!$A:$A,sum_orient_20260526!$A7,INDEX(result_20260526!$A:$Z,0,MATCH(sum_orient_20260526!B$1,result_20260526!$1:$1,0)))</f>
        <v>0</v>
      </c>
      <c r="C7">
        <f>SUMIF(result_20260526!$A:$A,sum_orient_20260526!$A7,INDEX(result_20260526!$A:$Z,0,MATCH(sum_orient_20260526!C$1,result_20260526!$1:$1,0)))</f>
        <v>9</v>
      </c>
      <c r="D7">
        <f>SUMIF(result_20260526!$A:$A,sum_orient_20260526!$A7,INDEX(result_20260526!$A:$Z,0,MATCH(sum_orient_20260526!D$1,result_20260526!$1:$1,0)))</f>
        <v>0</v>
      </c>
      <c r="E7">
        <f>SUMIF(result_20260526!$A:$A,sum_orient_20260526!$A7,INDEX(result_20260526!$A:$Z,0,MATCH(sum_orient_20260526!E$1,result_20260526!$1:$1,0)))</f>
        <v>9</v>
      </c>
      <c r="F7">
        <f>SUMIF(result_20260526!$A:$A,sum_orient_20260526!$A7,INDEX(result_20260526!$A:$Z,0,MATCH(sum_orient_20260526!F$1,result_20260526!$1:$1,0)))</f>
        <v>0</v>
      </c>
      <c r="G7">
        <f>SUMIF(result_20260526!$A:$A,sum_orient_20260526!$A7,INDEX(result_20260526!$A:$Z,0,MATCH(sum_orient_20260526!G$1,result_20260526!$1:$1,0)))</f>
        <v>0</v>
      </c>
      <c r="H7">
        <f>SUMIF(result_20260526!$A:$A,sum_orient_20260526!$A7,INDEX(result_20260526!$A:$Z,0,MATCH(sum_orient_20260526!H$1,result_20260526!$1:$1,0)))</f>
        <v>0</v>
      </c>
      <c r="I7">
        <f>SUMIF(result_20260526!$A:$A,sum_orient_20260526!$A7,INDEX(result_20260526!$A:$Z,0,MATCH(sum_orient_20260526!I$1,result_20260526!$1:$1,0)))</f>
        <v>7</v>
      </c>
      <c r="J7">
        <f>SUMIF(result_20260526!$A:$A,sum_orient_20260526!$A7,INDEX(result_20260526!$A:$Z,0,MATCH(sum_orient_20260526!J$1,result_20260526!$1:$1,0)))</f>
        <v>1</v>
      </c>
      <c r="K7">
        <f>SUMIF(result_20260526!$A:$A,sum_orient_20260526!$A7,INDEX(result_20260526!$A:$Z,0,MATCH(sum_orient_20260526!K$1,result_20260526!$1:$1,0)))</f>
        <v>0</v>
      </c>
      <c r="L7">
        <f>SUMIF(result_20260526!$A:$A,sum_orient_20260526!$A7,INDEX(result_20260526!$A:$Z,0,MATCH(sum_orient_20260526!L$1,result_20260526!$1:$1,0)))</f>
        <v>2</v>
      </c>
      <c r="M7">
        <f>SUMIF(result_20260526!$A:$A,sum_orient_20260526!$A7,INDEX(result_20260526!$A:$Z,0,MATCH(sum_orient_20260526!M$1,result_20260526!$1:$1,0)))</f>
        <v>0</v>
      </c>
      <c r="N7">
        <f t="shared" si="0"/>
        <v>18</v>
      </c>
      <c r="O7" s="8">
        <f t="shared" si="1"/>
        <v>0.5</v>
      </c>
    </row>
    <row r="8" spans="1:15">
      <c r="A8">
        <v>7</v>
      </c>
      <c r="B8">
        <f>SUMIF(result_20260526!$A:$A,sum_orient_20260526!$A8,INDEX(result_20260526!$A:$Z,0,MATCH(sum_orient_20260526!B$1,result_20260526!$1:$1,0)))</f>
        <v>0</v>
      </c>
      <c r="C8">
        <f>SUMIF(result_20260526!$A:$A,sum_orient_20260526!$A8,INDEX(result_20260526!$A:$Z,0,MATCH(sum_orient_20260526!C$1,result_20260526!$1:$1,0)))</f>
        <v>6</v>
      </c>
      <c r="D8">
        <f>SUMIF(result_20260526!$A:$A,sum_orient_20260526!$A8,INDEX(result_20260526!$A:$Z,0,MATCH(sum_orient_20260526!D$1,result_20260526!$1:$1,0)))</f>
        <v>4</v>
      </c>
      <c r="E8">
        <f>SUMIF(result_20260526!$A:$A,sum_orient_20260526!$A8,INDEX(result_20260526!$A:$Z,0,MATCH(sum_orient_20260526!E$1,result_20260526!$1:$1,0)))</f>
        <v>8</v>
      </c>
      <c r="F8">
        <f>SUMIF(result_20260526!$A:$A,sum_orient_20260526!$A8,INDEX(result_20260526!$A:$Z,0,MATCH(sum_orient_20260526!F$1,result_20260526!$1:$1,0)))</f>
        <v>1</v>
      </c>
      <c r="G8">
        <f>SUMIF(result_20260526!$A:$A,sum_orient_20260526!$A8,INDEX(result_20260526!$A:$Z,0,MATCH(sum_orient_20260526!G$1,result_20260526!$1:$1,0)))</f>
        <v>0</v>
      </c>
      <c r="H8">
        <f>SUMIF(result_20260526!$A:$A,sum_orient_20260526!$A8,INDEX(result_20260526!$A:$Z,0,MATCH(sum_orient_20260526!H$1,result_20260526!$1:$1,0)))</f>
        <v>2</v>
      </c>
      <c r="I8">
        <f>SUMIF(result_20260526!$A:$A,sum_orient_20260526!$A8,INDEX(result_20260526!$A:$Z,0,MATCH(sum_orient_20260526!I$1,result_20260526!$1:$1,0)))</f>
        <v>2</v>
      </c>
      <c r="J8">
        <f>SUMIF(result_20260526!$A:$A,sum_orient_20260526!$A8,INDEX(result_20260526!$A:$Z,0,MATCH(sum_orient_20260526!J$1,result_20260526!$1:$1,0)))</f>
        <v>1</v>
      </c>
      <c r="K8">
        <f>SUMIF(result_20260526!$A:$A,sum_orient_20260526!$A8,INDEX(result_20260526!$A:$Z,0,MATCH(sum_orient_20260526!K$1,result_20260526!$1:$1,0)))</f>
        <v>1</v>
      </c>
      <c r="L8">
        <f>SUMIF(result_20260526!$A:$A,sum_orient_20260526!$A8,INDEX(result_20260526!$A:$Z,0,MATCH(sum_orient_20260526!L$1,result_20260526!$1:$1,0)))</f>
        <v>3</v>
      </c>
      <c r="M8">
        <f>SUMIF(result_20260526!$A:$A,sum_orient_20260526!$A8,INDEX(result_20260526!$A:$Z,0,MATCH(sum_orient_20260526!M$1,result_20260526!$1:$1,0)))</f>
        <v>4</v>
      </c>
      <c r="N8">
        <f t="shared" si="0"/>
        <v>18</v>
      </c>
      <c r="O8" s="8">
        <f t="shared" si="1"/>
        <v>0.33333333333333331</v>
      </c>
    </row>
    <row r="9" spans="1:15">
      <c r="A9">
        <v>8</v>
      </c>
      <c r="B9">
        <f>SUMIF(result_20260526!$A:$A,sum_orient_20260526!$A9,INDEX(result_20260526!$A:$Z,0,MATCH(sum_orient_20260526!B$1,result_20260526!$1:$1,0)))</f>
        <v>0</v>
      </c>
      <c r="C9">
        <f>SUMIF(result_20260526!$A:$A,sum_orient_20260526!$A9,INDEX(result_20260526!$A:$Z,0,MATCH(sum_orient_20260526!C$1,result_20260526!$1:$1,0)))</f>
        <v>1</v>
      </c>
      <c r="D9">
        <f>SUMIF(result_20260526!$A:$A,sum_orient_20260526!$A9,INDEX(result_20260526!$A:$Z,0,MATCH(sum_orient_20260526!D$1,result_20260526!$1:$1,0)))</f>
        <v>1</v>
      </c>
      <c r="E9">
        <f>SUMIF(result_20260526!$A:$A,sum_orient_20260526!$A9,INDEX(result_20260526!$A:$Z,0,MATCH(sum_orient_20260526!E$1,result_20260526!$1:$1,0)))</f>
        <v>16</v>
      </c>
      <c r="F9">
        <f>SUMIF(result_20260526!$A:$A,sum_orient_20260526!$A9,INDEX(result_20260526!$A:$Z,0,MATCH(sum_orient_20260526!F$1,result_20260526!$1:$1,0)))</f>
        <v>0</v>
      </c>
      <c r="G9">
        <f>SUMIF(result_20260526!$A:$A,sum_orient_20260526!$A9,INDEX(result_20260526!$A:$Z,0,MATCH(sum_orient_20260526!G$1,result_20260526!$1:$1,0)))</f>
        <v>1</v>
      </c>
      <c r="H9">
        <f>SUMIF(result_20260526!$A:$A,sum_orient_20260526!$A9,INDEX(result_20260526!$A:$Z,0,MATCH(sum_orient_20260526!H$1,result_20260526!$1:$1,0)))</f>
        <v>0</v>
      </c>
      <c r="I9">
        <f>SUMIF(result_20260526!$A:$A,sum_orient_20260526!$A9,INDEX(result_20260526!$A:$Z,0,MATCH(sum_orient_20260526!I$1,result_20260526!$1:$1,0)))</f>
        <v>14</v>
      </c>
      <c r="J9">
        <f>SUMIF(result_20260526!$A:$A,sum_orient_20260526!$A9,INDEX(result_20260526!$A:$Z,0,MATCH(sum_orient_20260526!J$1,result_20260526!$1:$1,0)))</f>
        <v>2</v>
      </c>
      <c r="K9">
        <f>SUMIF(result_20260526!$A:$A,sum_orient_20260526!$A9,INDEX(result_20260526!$A:$Z,0,MATCH(sum_orient_20260526!K$1,result_20260526!$1:$1,0)))</f>
        <v>0</v>
      </c>
      <c r="L9">
        <f>SUMIF(result_20260526!$A:$A,sum_orient_20260526!$A9,INDEX(result_20260526!$A:$Z,0,MATCH(sum_orient_20260526!L$1,result_20260526!$1:$1,0)))</f>
        <v>1</v>
      </c>
      <c r="M9">
        <f>SUMIF(result_20260526!$A:$A,sum_orient_20260526!$A9,INDEX(result_20260526!$A:$Z,0,MATCH(sum_orient_20260526!M$1,result_20260526!$1:$1,0)))</f>
        <v>1</v>
      </c>
      <c r="N9">
        <f t="shared" si="0"/>
        <v>18</v>
      </c>
      <c r="O9" s="8">
        <f t="shared" si="1"/>
        <v>5.5555555555555552E-2</v>
      </c>
    </row>
    <row r="10" spans="1:15">
      <c r="A10" s="24" t="s">
        <v>37</v>
      </c>
      <c r="B10" s="24">
        <f>SUM(B2:B9)</f>
        <v>8</v>
      </c>
      <c r="C10" s="24">
        <f t="shared" ref="C10:N10" si="2">SUM(C2:C9)</f>
        <v>50</v>
      </c>
      <c r="D10" s="24">
        <f t="shared" si="2"/>
        <v>9</v>
      </c>
      <c r="E10" s="24">
        <f t="shared" si="2"/>
        <v>95</v>
      </c>
      <c r="F10" s="24">
        <f t="shared" si="2"/>
        <v>7</v>
      </c>
      <c r="G10" s="24">
        <f t="shared" si="2"/>
        <v>11</v>
      </c>
      <c r="H10" s="24">
        <f t="shared" si="2"/>
        <v>3</v>
      </c>
      <c r="I10" s="24">
        <f t="shared" si="2"/>
        <v>52</v>
      </c>
      <c r="J10" s="24">
        <f t="shared" si="2"/>
        <v>8</v>
      </c>
      <c r="K10" s="24">
        <f t="shared" si="2"/>
        <v>12</v>
      </c>
      <c r="L10" s="24">
        <f t="shared" si="2"/>
        <v>15</v>
      </c>
      <c r="M10" s="24">
        <f t="shared" si="2"/>
        <v>9</v>
      </c>
      <c r="N10" s="24">
        <f t="shared" si="2"/>
        <v>162</v>
      </c>
      <c r="O10" s="25">
        <f t="shared" si="1"/>
        <v>0.35802469135802467</v>
      </c>
    </row>
  </sheetData>
  <phoneticPr fontId="1" type="noConversion"/>
  <conditionalFormatting sqref="O2">
    <cfRule type="colorScale" priority="2">
      <colorScale>
        <cfvo type="percent" val="0"/>
        <cfvo type="percentile" val="50"/>
        <cfvo type="percent" val="100"/>
        <color rgb="FFF8696B"/>
        <color rgb="FFFFEB84"/>
        <color rgb="FF63BE7B"/>
      </colorScale>
    </cfRule>
  </conditionalFormatting>
  <conditionalFormatting sqref="O2:O1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88161-FB57-4958-8BE6-7D72A09B6007}">
  <sheetPr>
    <tabColor theme="5" tint="-0.249977111117893"/>
  </sheetPr>
  <dimension ref="A1:O11"/>
  <sheetViews>
    <sheetView workbookViewId="0">
      <selection activeCell="H31" sqref="H31"/>
    </sheetView>
  </sheetViews>
  <sheetFormatPr defaultRowHeight="14.25"/>
  <cols>
    <col min="3" max="3" width="23.5" bestFit="1" customWidth="1"/>
    <col min="4" max="4" width="32.125" bestFit="1" customWidth="1"/>
    <col min="7" max="7" width="17.5" style="8" bestFit="1" customWidth="1"/>
  </cols>
  <sheetData>
    <row r="1" spans="1:15">
      <c r="A1" s="24" t="s">
        <v>3</v>
      </c>
      <c r="B1" s="24" t="s">
        <v>0</v>
      </c>
      <c r="C1" s="24" t="s">
        <v>16</v>
      </c>
      <c r="D1" s="24" t="s">
        <v>23</v>
      </c>
      <c r="E1" s="24" t="s">
        <v>17</v>
      </c>
      <c r="F1" s="24" t="s">
        <v>19</v>
      </c>
      <c r="G1" s="24" t="s">
        <v>1</v>
      </c>
      <c r="H1" s="24" t="s">
        <v>22</v>
      </c>
      <c r="I1" s="24" t="s">
        <v>18</v>
      </c>
      <c r="J1" s="24" t="s">
        <v>20</v>
      </c>
      <c r="K1" s="24" t="s">
        <v>25</v>
      </c>
      <c r="L1" s="24" t="s">
        <v>21</v>
      </c>
      <c r="M1" s="24" t="s">
        <v>24</v>
      </c>
      <c r="N1" s="24" t="s">
        <v>35</v>
      </c>
      <c r="O1" s="25" t="s">
        <v>36</v>
      </c>
    </row>
    <row r="2" spans="1:15">
      <c r="A2" t="s">
        <v>6</v>
      </c>
      <c r="B2">
        <f>SUMIF(result_20260526!$B:$B,sum_pos_20260526!$A2,INDEX(result_20260526!$A:$Z,0,MATCH(sum_pos_20260526!B$1,result_20260526!$1:$1,0)))</f>
        <v>0</v>
      </c>
      <c r="C2">
        <f>SUMIF(result_20260526!$B:$B,sum_pos_20260526!$A2,INDEX(result_20260526!$A:$Z,0,MATCH(sum_pos_20260526!C$1,result_20260526!$1:$1,0)))</f>
        <v>13</v>
      </c>
      <c r="D2">
        <f>SUMIF(result_20260526!$B:$B,sum_pos_20260526!$A2,INDEX(result_20260526!$A:$Z,0,MATCH(sum_pos_20260526!D$1,result_20260526!$1:$1,0)))</f>
        <v>2</v>
      </c>
      <c r="E2">
        <f>SUMIF(result_20260526!$B:$B,sum_pos_20260526!$A2,INDEX(result_20260526!$A:$Z,0,MATCH(sum_pos_20260526!E$1,result_20260526!$1:$1,0)))</f>
        <v>9</v>
      </c>
      <c r="F2">
        <f>SUMIF(result_20260526!$B:$B,sum_pos_20260526!$A2,INDEX(result_20260526!$A:$Z,0,MATCH(sum_pos_20260526!F$1,result_20260526!$1:$1,0)))</f>
        <v>0</v>
      </c>
      <c r="G2">
        <f>SUMIF(result_20260526!$B:$B,sum_pos_20260526!$A2,INDEX(result_20260526!$A:$Z,0,MATCH(sum_pos_20260526!G$1,result_20260526!$1:$1,0)))</f>
        <v>0</v>
      </c>
      <c r="H2">
        <f>SUMIF(result_20260526!$B:$B,sum_pos_20260526!$A2,INDEX(result_20260526!$A:$Z,0,MATCH(sum_pos_20260526!H$1,result_20260526!$1:$1,0)))</f>
        <v>0</v>
      </c>
      <c r="I2">
        <f>SUMIF(result_20260526!$B:$B,sum_pos_20260526!$A2,INDEX(result_20260526!$A:$Z,0,MATCH(sum_pos_20260526!I$1,result_20260526!$1:$1,0)))</f>
        <v>6</v>
      </c>
      <c r="J2">
        <f>SUMIF(result_20260526!$B:$B,sum_pos_20260526!$A2,INDEX(result_20260526!$A:$Z,0,MATCH(sum_pos_20260526!J$1,result_20260526!$1:$1,0)))</f>
        <v>0</v>
      </c>
      <c r="K2">
        <f>SUMIF(result_20260526!$B:$B,sum_pos_20260526!$A2,INDEX(result_20260526!$A:$Z,0,MATCH(sum_pos_20260526!K$1,result_20260526!$1:$1,0)))</f>
        <v>3</v>
      </c>
      <c r="L2">
        <f>SUMIF(result_20260526!$B:$B,sum_pos_20260526!$A2,INDEX(result_20260526!$A:$Z,0,MATCH(sum_pos_20260526!L$1,result_20260526!$1:$1,0)))</f>
        <v>0</v>
      </c>
      <c r="M2">
        <f>SUMIF(result_20260526!$B:$B,sum_pos_20260526!$A2,INDEX(result_20260526!$A:$Z,0,MATCH(sum_pos_20260526!M$1,result_20260526!$1:$1,0)))</f>
        <v>2</v>
      </c>
      <c r="N2">
        <f t="shared" ref="N2:N10" si="0">SUM(B2:E2)</f>
        <v>24</v>
      </c>
      <c r="O2" s="8">
        <f t="shared" ref="O2:O10" si="1">SUM(B2:C2)/N2</f>
        <v>0.54166666666666663</v>
      </c>
    </row>
    <row r="3" spans="1:15">
      <c r="A3" t="s">
        <v>7</v>
      </c>
      <c r="B3">
        <f>SUMIF(result_20260526!$B:$B,sum_pos_20260526!$A3,INDEX(result_20260526!$A:$Z,0,MATCH(sum_pos_20260526!B$1,result_20260526!$1:$1,0)))</f>
        <v>0</v>
      </c>
      <c r="C3">
        <f>SUMIF(result_20260526!$B:$B,sum_pos_20260526!$A3,INDEX(result_20260526!$A:$Z,0,MATCH(sum_pos_20260526!C$1,result_20260526!$1:$1,0)))</f>
        <v>3</v>
      </c>
      <c r="D3">
        <f>SUMIF(result_20260526!$B:$B,sum_pos_20260526!$A3,INDEX(result_20260526!$A:$Z,0,MATCH(sum_pos_20260526!D$1,result_20260526!$1:$1,0)))</f>
        <v>1</v>
      </c>
      <c r="E3">
        <f>SUMIF(result_20260526!$B:$B,sum_pos_20260526!$A3,INDEX(result_20260526!$A:$Z,0,MATCH(sum_pos_20260526!E$1,result_20260526!$1:$1,0)))</f>
        <v>2</v>
      </c>
      <c r="F3">
        <f>SUMIF(result_20260526!$B:$B,sum_pos_20260526!$A3,INDEX(result_20260526!$A:$Z,0,MATCH(sum_pos_20260526!F$1,result_20260526!$1:$1,0)))</f>
        <v>0</v>
      </c>
      <c r="G3">
        <f>SUMIF(result_20260526!$B:$B,sum_pos_20260526!$A3,INDEX(result_20260526!$A:$Z,0,MATCH(sum_pos_20260526!G$1,result_20260526!$1:$1,0)))</f>
        <v>0</v>
      </c>
      <c r="H3">
        <f>SUMIF(result_20260526!$B:$B,sum_pos_20260526!$A3,INDEX(result_20260526!$A:$Z,0,MATCH(sum_pos_20260526!H$1,result_20260526!$1:$1,0)))</f>
        <v>0</v>
      </c>
      <c r="I3">
        <f>SUMIF(result_20260526!$B:$B,sum_pos_20260526!$A3,INDEX(result_20260526!$A:$Z,0,MATCH(sum_pos_20260526!I$1,result_20260526!$1:$1,0)))</f>
        <v>2</v>
      </c>
      <c r="J3">
        <f>SUMIF(result_20260526!$B:$B,sum_pos_20260526!$A3,INDEX(result_20260526!$A:$Z,0,MATCH(sum_pos_20260526!J$1,result_20260526!$1:$1,0)))</f>
        <v>0</v>
      </c>
      <c r="K3">
        <f>SUMIF(result_20260526!$B:$B,sum_pos_20260526!$A3,INDEX(result_20260526!$A:$Z,0,MATCH(sum_pos_20260526!K$1,result_20260526!$1:$1,0)))</f>
        <v>0</v>
      </c>
      <c r="L3">
        <f>SUMIF(result_20260526!$B:$B,sum_pos_20260526!$A3,INDEX(result_20260526!$A:$Z,0,MATCH(sum_pos_20260526!L$1,result_20260526!$1:$1,0)))</f>
        <v>0</v>
      </c>
      <c r="M3">
        <f>SUMIF(result_20260526!$B:$B,sum_pos_20260526!$A3,INDEX(result_20260526!$A:$Z,0,MATCH(sum_pos_20260526!M$1,result_20260526!$1:$1,0)))</f>
        <v>1</v>
      </c>
      <c r="N3">
        <f t="shared" si="0"/>
        <v>6</v>
      </c>
      <c r="O3" s="8">
        <f t="shared" si="1"/>
        <v>0.5</v>
      </c>
    </row>
    <row r="4" spans="1:15">
      <c r="A4" t="s">
        <v>8</v>
      </c>
      <c r="B4">
        <f>SUMIF(result_20260526!$B:$B,sum_pos_20260526!$A4,INDEX(result_20260526!$A:$Z,0,MATCH(sum_pos_20260526!B$1,result_20260526!$1:$1,0)))</f>
        <v>3</v>
      </c>
      <c r="C4">
        <f>SUMIF(result_20260526!$B:$B,sum_pos_20260526!$A4,INDEX(result_20260526!$A:$Z,0,MATCH(sum_pos_20260526!C$1,result_20260526!$1:$1,0)))</f>
        <v>8</v>
      </c>
      <c r="D4">
        <f>SUMIF(result_20260526!$B:$B,sum_pos_20260526!$A4,INDEX(result_20260526!$A:$Z,0,MATCH(sum_pos_20260526!D$1,result_20260526!$1:$1,0)))</f>
        <v>2</v>
      </c>
      <c r="E4">
        <f>SUMIF(result_20260526!$B:$B,sum_pos_20260526!$A4,INDEX(result_20260526!$A:$Z,0,MATCH(sum_pos_20260526!E$1,result_20260526!$1:$1,0)))</f>
        <v>11</v>
      </c>
      <c r="F4">
        <f>SUMIF(result_20260526!$B:$B,sum_pos_20260526!$A4,INDEX(result_20260526!$A:$Z,0,MATCH(sum_pos_20260526!F$1,result_20260526!$1:$1,0)))</f>
        <v>0</v>
      </c>
      <c r="G4">
        <f>SUMIF(result_20260526!$B:$B,sum_pos_20260526!$A4,INDEX(result_20260526!$A:$Z,0,MATCH(sum_pos_20260526!G$1,result_20260526!$1:$1,0)))</f>
        <v>1</v>
      </c>
      <c r="H4">
        <f>SUMIF(result_20260526!$B:$B,sum_pos_20260526!$A4,INDEX(result_20260526!$A:$Z,0,MATCH(sum_pos_20260526!H$1,result_20260526!$1:$1,0)))</f>
        <v>0</v>
      </c>
      <c r="I4">
        <f>SUMIF(result_20260526!$B:$B,sum_pos_20260526!$A4,INDEX(result_20260526!$A:$Z,0,MATCH(sum_pos_20260526!I$1,result_20260526!$1:$1,0)))</f>
        <v>6</v>
      </c>
      <c r="J4">
        <f>SUMIF(result_20260526!$B:$B,sum_pos_20260526!$A4,INDEX(result_20260526!$A:$Z,0,MATCH(sum_pos_20260526!J$1,result_20260526!$1:$1,0)))</f>
        <v>0</v>
      </c>
      <c r="K4">
        <f>SUMIF(result_20260526!$B:$B,sum_pos_20260526!$A4,INDEX(result_20260526!$A:$Z,0,MATCH(sum_pos_20260526!K$1,result_20260526!$1:$1,0)))</f>
        <v>2</v>
      </c>
      <c r="L4">
        <f>SUMIF(result_20260526!$B:$B,sum_pos_20260526!$A4,INDEX(result_20260526!$A:$Z,0,MATCH(sum_pos_20260526!L$1,result_20260526!$1:$1,0)))</f>
        <v>2</v>
      </c>
      <c r="M4">
        <f>SUMIF(result_20260526!$B:$B,sum_pos_20260526!$A4,INDEX(result_20260526!$A:$Z,0,MATCH(sum_pos_20260526!M$1,result_20260526!$1:$1,0)))</f>
        <v>2</v>
      </c>
      <c r="N4">
        <f t="shared" si="0"/>
        <v>24</v>
      </c>
      <c r="O4" s="8">
        <f t="shared" si="1"/>
        <v>0.45833333333333331</v>
      </c>
    </row>
    <row r="5" spans="1:15">
      <c r="A5" t="s">
        <v>9</v>
      </c>
      <c r="B5">
        <f>SUMIF(result_20260526!$B:$B,sum_pos_20260526!$A5,INDEX(result_20260526!$A:$Z,0,MATCH(sum_pos_20260526!B$1,result_20260526!$1:$1,0)))</f>
        <v>0</v>
      </c>
      <c r="C5">
        <f>SUMIF(result_20260526!$B:$B,sum_pos_20260526!$A5,INDEX(result_20260526!$A:$Z,0,MATCH(sum_pos_20260526!C$1,result_20260526!$1:$1,0)))</f>
        <v>7</v>
      </c>
      <c r="D5">
        <f>SUMIF(result_20260526!$B:$B,sum_pos_20260526!$A5,INDEX(result_20260526!$A:$Z,0,MATCH(sum_pos_20260526!D$1,result_20260526!$1:$1,0)))</f>
        <v>1</v>
      </c>
      <c r="E5">
        <f>SUMIF(result_20260526!$B:$B,sum_pos_20260526!$A5,INDEX(result_20260526!$A:$Z,0,MATCH(sum_pos_20260526!E$1,result_20260526!$1:$1,0)))</f>
        <v>16</v>
      </c>
      <c r="F5">
        <f>SUMIF(result_20260526!$B:$B,sum_pos_20260526!$A5,INDEX(result_20260526!$A:$Z,0,MATCH(sum_pos_20260526!F$1,result_20260526!$1:$1,0)))</f>
        <v>3</v>
      </c>
      <c r="G5">
        <f>SUMIF(result_20260526!$B:$B,sum_pos_20260526!$A5,INDEX(result_20260526!$A:$Z,0,MATCH(sum_pos_20260526!G$1,result_20260526!$1:$1,0)))</f>
        <v>3</v>
      </c>
      <c r="H5">
        <f>SUMIF(result_20260526!$B:$B,sum_pos_20260526!$A5,INDEX(result_20260526!$A:$Z,0,MATCH(sum_pos_20260526!H$1,result_20260526!$1:$1,0)))</f>
        <v>0</v>
      </c>
      <c r="I5">
        <f>SUMIF(result_20260526!$B:$B,sum_pos_20260526!$A5,INDEX(result_20260526!$A:$Z,0,MATCH(sum_pos_20260526!I$1,result_20260526!$1:$1,0)))</f>
        <v>12</v>
      </c>
      <c r="J5">
        <f>SUMIF(result_20260526!$B:$B,sum_pos_20260526!$A5,INDEX(result_20260526!$A:$Z,0,MATCH(sum_pos_20260526!J$1,result_20260526!$1:$1,0)))</f>
        <v>0</v>
      </c>
      <c r="K5">
        <f>SUMIF(result_20260526!$B:$B,sum_pos_20260526!$A5,INDEX(result_20260526!$A:$Z,0,MATCH(sum_pos_20260526!K$1,result_20260526!$1:$1,0)))</f>
        <v>0</v>
      </c>
      <c r="L5">
        <f>SUMIF(result_20260526!$B:$B,sum_pos_20260526!$A5,INDEX(result_20260526!$A:$Z,0,MATCH(sum_pos_20260526!L$1,result_20260526!$1:$1,0)))</f>
        <v>1</v>
      </c>
      <c r="M5">
        <f>SUMIF(result_20260526!$B:$B,sum_pos_20260526!$A5,INDEX(result_20260526!$A:$Z,0,MATCH(sum_pos_20260526!M$1,result_20260526!$1:$1,0)))</f>
        <v>1</v>
      </c>
      <c r="N5">
        <f t="shared" si="0"/>
        <v>24</v>
      </c>
      <c r="O5" s="8">
        <f t="shared" si="1"/>
        <v>0.29166666666666669</v>
      </c>
    </row>
    <row r="6" spans="1:15">
      <c r="A6" t="s">
        <v>10</v>
      </c>
      <c r="B6">
        <f>SUMIF(result_20260526!$B:$B,sum_pos_20260526!$A6,INDEX(result_20260526!$A:$Z,0,MATCH(sum_pos_20260526!B$1,result_20260526!$1:$1,0)))</f>
        <v>0</v>
      </c>
      <c r="C6">
        <f>SUMIF(result_20260526!$B:$B,sum_pos_20260526!$A6,INDEX(result_20260526!$A:$Z,0,MATCH(sum_pos_20260526!C$1,result_20260526!$1:$1,0)))</f>
        <v>2</v>
      </c>
      <c r="D6">
        <f>SUMIF(result_20260526!$B:$B,sum_pos_20260526!$A6,INDEX(result_20260526!$A:$Z,0,MATCH(sum_pos_20260526!D$1,result_20260526!$1:$1,0)))</f>
        <v>1</v>
      </c>
      <c r="E6">
        <f>SUMIF(result_20260526!$B:$B,sum_pos_20260526!$A6,INDEX(result_20260526!$A:$Z,0,MATCH(sum_pos_20260526!E$1,result_20260526!$1:$1,0)))</f>
        <v>3</v>
      </c>
      <c r="F6">
        <f>SUMIF(result_20260526!$B:$B,sum_pos_20260526!$A6,INDEX(result_20260526!$A:$Z,0,MATCH(sum_pos_20260526!F$1,result_20260526!$1:$1,0)))</f>
        <v>0</v>
      </c>
      <c r="G6">
        <f>SUMIF(result_20260526!$B:$B,sum_pos_20260526!$A6,INDEX(result_20260526!$A:$Z,0,MATCH(sum_pos_20260526!G$1,result_20260526!$1:$1,0)))</f>
        <v>0</v>
      </c>
      <c r="H6">
        <f>SUMIF(result_20260526!$B:$B,sum_pos_20260526!$A6,INDEX(result_20260526!$A:$Z,0,MATCH(sum_pos_20260526!H$1,result_20260526!$1:$1,0)))</f>
        <v>0</v>
      </c>
      <c r="I6">
        <f>SUMIF(result_20260526!$B:$B,sum_pos_20260526!$A6,INDEX(result_20260526!$A:$Z,0,MATCH(sum_pos_20260526!I$1,result_20260526!$1:$1,0)))</f>
        <v>3</v>
      </c>
      <c r="J6">
        <f>SUMIF(result_20260526!$B:$B,sum_pos_20260526!$A6,INDEX(result_20260526!$A:$Z,0,MATCH(sum_pos_20260526!J$1,result_20260526!$1:$1,0)))</f>
        <v>0</v>
      </c>
      <c r="K6">
        <f>SUMIF(result_20260526!$B:$B,sum_pos_20260526!$A6,INDEX(result_20260526!$A:$Z,0,MATCH(sum_pos_20260526!K$1,result_20260526!$1:$1,0)))</f>
        <v>0</v>
      </c>
      <c r="L6">
        <f>SUMIF(result_20260526!$B:$B,sum_pos_20260526!$A6,INDEX(result_20260526!$A:$Z,0,MATCH(sum_pos_20260526!L$1,result_20260526!$1:$1,0)))</f>
        <v>0</v>
      </c>
      <c r="M6">
        <f>SUMIF(result_20260526!$B:$B,sum_pos_20260526!$A6,INDEX(result_20260526!$A:$Z,0,MATCH(sum_pos_20260526!M$1,result_20260526!$1:$1,0)))</f>
        <v>1</v>
      </c>
      <c r="N6">
        <f t="shared" si="0"/>
        <v>6</v>
      </c>
      <c r="O6" s="8">
        <f t="shared" si="1"/>
        <v>0.33333333333333331</v>
      </c>
    </row>
    <row r="7" spans="1:15">
      <c r="A7" t="s">
        <v>11</v>
      </c>
      <c r="B7">
        <f>SUMIF(result_20260526!$B:$B,sum_pos_20260526!$A7,INDEX(result_20260526!$A:$Z,0,MATCH(sum_pos_20260526!B$1,result_20260526!$1:$1,0)))</f>
        <v>2</v>
      </c>
      <c r="C7">
        <f>SUMIF(result_20260526!$B:$B,sum_pos_20260526!$A7,INDEX(result_20260526!$A:$Z,0,MATCH(sum_pos_20260526!C$1,result_20260526!$1:$1,0)))</f>
        <v>5</v>
      </c>
      <c r="D7">
        <f>SUMIF(result_20260526!$B:$B,sum_pos_20260526!$A7,INDEX(result_20260526!$A:$Z,0,MATCH(sum_pos_20260526!D$1,result_20260526!$1:$1,0)))</f>
        <v>2</v>
      </c>
      <c r="E7">
        <f>SUMIF(result_20260526!$B:$B,sum_pos_20260526!$A7,INDEX(result_20260526!$A:$Z,0,MATCH(sum_pos_20260526!E$1,result_20260526!$1:$1,0)))</f>
        <v>15</v>
      </c>
      <c r="F7">
        <f>SUMIF(result_20260526!$B:$B,sum_pos_20260526!$A7,INDEX(result_20260526!$A:$Z,0,MATCH(sum_pos_20260526!F$1,result_20260526!$1:$1,0)))</f>
        <v>3</v>
      </c>
      <c r="G7">
        <f>SUMIF(result_20260526!$B:$B,sum_pos_20260526!$A7,INDEX(result_20260526!$A:$Z,0,MATCH(sum_pos_20260526!G$1,result_20260526!$1:$1,0)))</f>
        <v>1</v>
      </c>
      <c r="H7">
        <f>SUMIF(result_20260526!$B:$B,sum_pos_20260526!$A7,INDEX(result_20260526!$A:$Z,0,MATCH(sum_pos_20260526!H$1,result_20260526!$1:$1,0)))</f>
        <v>0</v>
      </c>
      <c r="I7">
        <f>SUMIF(result_20260526!$B:$B,sum_pos_20260526!$A7,INDEX(result_20260526!$A:$Z,0,MATCH(sum_pos_20260526!I$1,result_20260526!$1:$1,0)))</f>
        <v>7</v>
      </c>
      <c r="J7">
        <f>SUMIF(result_20260526!$B:$B,sum_pos_20260526!$A7,INDEX(result_20260526!$A:$Z,0,MATCH(sum_pos_20260526!J$1,result_20260526!$1:$1,0)))</f>
        <v>0</v>
      </c>
      <c r="K7">
        <f>SUMIF(result_20260526!$B:$B,sum_pos_20260526!$A7,INDEX(result_20260526!$A:$Z,0,MATCH(sum_pos_20260526!K$1,result_20260526!$1:$1,0)))</f>
        <v>3</v>
      </c>
      <c r="L7">
        <f>SUMIF(result_20260526!$B:$B,sum_pos_20260526!$A7,INDEX(result_20260526!$A:$Z,0,MATCH(sum_pos_20260526!L$1,result_20260526!$1:$1,0)))</f>
        <v>2</v>
      </c>
      <c r="M7">
        <f>SUMIF(result_20260526!$B:$B,sum_pos_20260526!$A7,INDEX(result_20260526!$A:$Z,0,MATCH(sum_pos_20260526!M$1,result_20260526!$1:$1,0)))</f>
        <v>2</v>
      </c>
      <c r="N7">
        <f t="shared" si="0"/>
        <v>24</v>
      </c>
      <c r="O7" s="8">
        <f t="shared" si="1"/>
        <v>0.29166666666666669</v>
      </c>
    </row>
    <row r="8" spans="1:15">
      <c r="A8" t="s">
        <v>12</v>
      </c>
      <c r="B8">
        <f>SUMIF(result_20260526!$B:$B,sum_pos_20260526!$A8,INDEX(result_20260526!$A:$Z,0,MATCH(sum_pos_20260526!B$1,result_20260526!$1:$1,0)))</f>
        <v>0</v>
      </c>
      <c r="C8">
        <f>SUMIF(result_20260526!$B:$B,sum_pos_20260526!$A8,INDEX(result_20260526!$A:$Z,0,MATCH(sum_pos_20260526!C$1,result_20260526!$1:$1,0)))</f>
        <v>7</v>
      </c>
      <c r="D8">
        <f>SUMIF(result_20260526!$B:$B,sum_pos_20260526!$A8,INDEX(result_20260526!$A:$Z,0,MATCH(sum_pos_20260526!D$1,result_20260526!$1:$1,0)))</f>
        <v>0</v>
      </c>
      <c r="E8">
        <f>SUMIF(result_20260526!$B:$B,sum_pos_20260526!$A8,INDEX(result_20260526!$A:$Z,0,MATCH(sum_pos_20260526!E$1,result_20260526!$1:$1,0)))</f>
        <v>17</v>
      </c>
      <c r="F8">
        <f>SUMIF(result_20260526!$B:$B,sum_pos_20260526!$A8,INDEX(result_20260526!$A:$Z,0,MATCH(sum_pos_20260526!F$1,result_20260526!$1:$1,0)))</f>
        <v>1</v>
      </c>
      <c r="G8">
        <f>SUMIF(result_20260526!$B:$B,sum_pos_20260526!$A8,INDEX(result_20260526!$A:$Z,0,MATCH(sum_pos_20260526!G$1,result_20260526!$1:$1,0)))</f>
        <v>3</v>
      </c>
      <c r="H8">
        <f>SUMIF(result_20260526!$B:$B,sum_pos_20260526!$A8,INDEX(result_20260526!$A:$Z,0,MATCH(sum_pos_20260526!H$1,result_20260526!$1:$1,0)))</f>
        <v>0</v>
      </c>
      <c r="I8">
        <f>SUMIF(result_20260526!$B:$B,sum_pos_20260526!$A8,INDEX(result_20260526!$A:$Z,0,MATCH(sum_pos_20260526!I$1,result_20260526!$1:$1,0)))</f>
        <v>8</v>
      </c>
      <c r="J8">
        <f>SUMIF(result_20260526!$B:$B,sum_pos_20260526!$A8,INDEX(result_20260526!$A:$Z,0,MATCH(sum_pos_20260526!J$1,result_20260526!$1:$1,0)))</f>
        <v>5</v>
      </c>
      <c r="K8">
        <f>SUMIF(result_20260526!$B:$B,sum_pos_20260526!$A8,INDEX(result_20260526!$A:$Z,0,MATCH(sum_pos_20260526!K$1,result_20260526!$1:$1,0)))</f>
        <v>3</v>
      </c>
      <c r="L8">
        <f>SUMIF(result_20260526!$B:$B,sum_pos_20260526!$A8,INDEX(result_20260526!$A:$Z,0,MATCH(sum_pos_20260526!L$1,result_20260526!$1:$1,0)))</f>
        <v>3</v>
      </c>
      <c r="M8">
        <f>SUMIF(result_20260526!$B:$B,sum_pos_20260526!$A8,INDEX(result_20260526!$A:$Z,0,MATCH(sum_pos_20260526!M$1,result_20260526!$1:$1,0)))</f>
        <v>0</v>
      </c>
      <c r="N8">
        <f t="shared" si="0"/>
        <v>24</v>
      </c>
      <c r="O8" s="8">
        <f t="shared" si="1"/>
        <v>0.29166666666666669</v>
      </c>
    </row>
    <row r="9" spans="1:15">
      <c r="A9" t="s">
        <v>13</v>
      </c>
      <c r="B9">
        <f>SUMIF(result_20260526!$B:$B,sum_pos_20260526!$A9,INDEX(result_20260526!$A:$Z,0,MATCH(sum_pos_20260526!B$1,result_20260526!$1:$1,0)))</f>
        <v>1</v>
      </c>
      <c r="C9">
        <f>SUMIF(result_20260526!$B:$B,sum_pos_20260526!$A9,INDEX(result_20260526!$A:$Z,0,MATCH(sum_pos_20260526!C$1,result_20260526!$1:$1,0)))</f>
        <v>1</v>
      </c>
      <c r="D9">
        <f>SUMIF(result_20260526!$B:$B,sum_pos_20260526!$A9,INDEX(result_20260526!$A:$Z,0,MATCH(sum_pos_20260526!D$1,result_20260526!$1:$1,0)))</f>
        <v>0</v>
      </c>
      <c r="E9">
        <f>SUMIF(result_20260526!$B:$B,sum_pos_20260526!$A9,INDEX(result_20260526!$A:$Z,0,MATCH(sum_pos_20260526!E$1,result_20260526!$1:$1,0)))</f>
        <v>4</v>
      </c>
      <c r="F9">
        <f>SUMIF(result_20260526!$B:$B,sum_pos_20260526!$A9,INDEX(result_20260526!$A:$Z,0,MATCH(sum_pos_20260526!F$1,result_20260526!$1:$1,0)))</f>
        <v>0</v>
      </c>
      <c r="G9">
        <f>SUMIF(result_20260526!$B:$B,sum_pos_20260526!$A9,INDEX(result_20260526!$A:$Z,0,MATCH(sum_pos_20260526!G$1,result_20260526!$1:$1,0)))</f>
        <v>0</v>
      </c>
      <c r="H9">
        <f>SUMIF(result_20260526!$B:$B,sum_pos_20260526!$A9,INDEX(result_20260526!$A:$Z,0,MATCH(sum_pos_20260526!H$1,result_20260526!$1:$1,0)))</f>
        <v>0</v>
      </c>
      <c r="I9">
        <f>SUMIF(result_20260526!$B:$B,sum_pos_20260526!$A9,INDEX(result_20260526!$A:$Z,0,MATCH(sum_pos_20260526!I$1,result_20260526!$1:$1,0)))</f>
        <v>1</v>
      </c>
      <c r="J9">
        <f>SUMIF(result_20260526!$B:$B,sum_pos_20260526!$A9,INDEX(result_20260526!$A:$Z,0,MATCH(sum_pos_20260526!J$1,result_20260526!$1:$1,0)))</f>
        <v>0</v>
      </c>
      <c r="K9">
        <f>SUMIF(result_20260526!$B:$B,sum_pos_20260526!$A9,INDEX(result_20260526!$A:$Z,0,MATCH(sum_pos_20260526!K$1,result_20260526!$1:$1,0)))</f>
        <v>0</v>
      </c>
      <c r="L9">
        <f>SUMIF(result_20260526!$B:$B,sum_pos_20260526!$A9,INDEX(result_20260526!$A:$Z,0,MATCH(sum_pos_20260526!L$1,result_20260526!$1:$1,0)))</f>
        <v>3</v>
      </c>
      <c r="M9">
        <f>SUMIF(result_20260526!$B:$B,sum_pos_20260526!$A9,INDEX(result_20260526!$A:$Z,0,MATCH(sum_pos_20260526!M$1,result_20260526!$1:$1,0)))</f>
        <v>0</v>
      </c>
      <c r="N9">
        <f t="shared" si="0"/>
        <v>6</v>
      </c>
      <c r="O9" s="8">
        <f t="shared" si="1"/>
        <v>0.33333333333333331</v>
      </c>
    </row>
    <row r="10" spans="1:15">
      <c r="A10" t="s">
        <v>14</v>
      </c>
      <c r="B10">
        <f>SUMIF(result_20260526!$B:$B,sum_pos_20260526!$A10,INDEX(result_20260526!$A:$Z,0,MATCH(sum_pos_20260526!B$1,result_20260526!$1:$1,0)))</f>
        <v>2</v>
      </c>
      <c r="C10">
        <f>SUMIF(result_20260526!$B:$B,sum_pos_20260526!$A10,INDEX(result_20260526!$A:$Z,0,MATCH(sum_pos_20260526!C$1,result_20260526!$1:$1,0)))</f>
        <v>4</v>
      </c>
      <c r="D10">
        <f>SUMIF(result_20260526!$B:$B,sum_pos_20260526!$A10,INDEX(result_20260526!$A:$Z,0,MATCH(sum_pos_20260526!D$1,result_20260526!$1:$1,0)))</f>
        <v>0</v>
      </c>
      <c r="E10">
        <f>SUMIF(result_20260526!$B:$B,sum_pos_20260526!$A10,INDEX(result_20260526!$A:$Z,0,MATCH(sum_pos_20260526!E$1,result_20260526!$1:$1,0)))</f>
        <v>18</v>
      </c>
      <c r="F10">
        <f>SUMIF(result_20260526!$B:$B,sum_pos_20260526!$A10,INDEX(result_20260526!$A:$Z,0,MATCH(sum_pos_20260526!F$1,result_20260526!$1:$1,0)))</f>
        <v>0</v>
      </c>
      <c r="G10">
        <f>SUMIF(result_20260526!$B:$B,sum_pos_20260526!$A10,INDEX(result_20260526!$A:$Z,0,MATCH(sum_pos_20260526!G$1,result_20260526!$1:$1,0)))</f>
        <v>3</v>
      </c>
      <c r="H10">
        <f>SUMIF(result_20260526!$B:$B,sum_pos_20260526!$A10,INDEX(result_20260526!$A:$Z,0,MATCH(sum_pos_20260526!H$1,result_20260526!$1:$1,0)))</f>
        <v>3</v>
      </c>
      <c r="I10">
        <f>SUMIF(result_20260526!$B:$B,sum_pos_20260526!$A10,INDEX(result_20260526!$A:$Z,0,MATCH(sum_pos_20260526!I$1,result_20260526!$1:$1,0)))</f>
        <v>7</v>
      </c>
      <c r="J10">
        <f>SUMIF(result_20260526!$B:$B,sum_pos_20260526!$A10,INDEX(result_20260526!$A:$Z,0,MATCH(sum_pos_20260526!J$1,result_20260526!$1:$1,0)))</f>
        <v>3</v>
      </c>
      <c r="K10">
        <f>SUMIF(result_20260526!$B:$B,sum_pos_20260526!$A10,INDEX(result_20260526!$A:$Z,0,MATCH(sum_pos_20260526!K$1,result_20260526!$1:$1,0)))</f>
        <v>1</v>
      </c>
      <c r="L10">
        <f>SUMIF(result_20260526!$B:$B,sum_pos_20260526!$A10,INDEX(result_20260526!$A:$Z,0,MATCH(sum_pos_20260526!L$1,result_20260526!$1:$1,0)))</f>
        <v>4</v>
      </c>
      <c r="M10">
        <f>SUMIF(result_20260526!$B:$B,sum_pos_20260526!$A10,INDEX(result_20260526!$A:$Z,0,MATCH(sum_pos_20260526!M$1,result_20260526!$1:$1,0)))</f>
        <v>0</v>
      </c>
      <c r="N10">
        <f t="shared" si="0"/>
        <v>24</v>
      </c>
      <c r="O10" s="8">
        <f t="shared" si="1"/>
        <v>0.25</v>
      </c>
    </row>
    <row r="11" spans="1:15">
      <c r="A11" s="24" t="s">
        <v>37</v>
      </c>
      <c r="B11" s="24">
        <f>SUM(B2:B10)</f>
        <v>8</v>
      </c>
      <c r="C11" s="24">
        <f t="shared" ref="C11:N11" si="2">SUM(C2:C10)</f>
        <v>50</v>
      </c>
      <c r="D11" s="24">
        <f t="shared" si="2"/>
        <v>9</v>
      </c>
      <c r="E11" s="24">
        <f t="shared" si="2"/>
        <v>95</v>
      </c>
      <c r="F11" s="24">
        <f t="shared" si="2"/>
        <v>7</v>
      </c>
      <c r="G11" s="24">
        <f t="shared" si="2"/>
        <v>11</v>
      </c>
      <c r="H11" s="24">
        <f t="shared" si="2"/>
        <v>3</v>
      </c>
      <c r="I11" s="24">
        <f t="shared" si="2"/>
        <v>52</v>
      </c>
      <c r="J11" s="24">
        <f t="shared" si="2"/>
        <v>8</v>
      </c>
      <c r="K11" s="24">
        <f t="shared" si="2"/>
        <v>12</v>
      </c>
      <c r="L11" s="24">
        <f t="shared" si="2"/>
        <v>15</v>
      </c>
      <c r="M11" s="24">
        <f t="shared" si="2"/>
        <v>9</v>
      </c>
      <c r="N11" s="24">
        <f t="shared" si="2"/>
        <v>162</v>
      </c>
      <c r="O11" s="25">
        <f t="shared" ref="O11" si="3">SUM(B11+C11)/N11</f>
        <v>0.35802469135802467</v>
      </c>
    </row>
  </sheetData>
  <phoneticPr fontId="1" type="noConversion"/>
  <conditionalFormatting sqref="O2:O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A05A1-90EB-4EFD-93C8-723802BFABB2}">
  <sheetPr>
    <tabColor theme="5" tint="-0.249977111117893"/>
  </sheetPr>
  <dimension ref="A1:C18"/>
  <sheetViews>
    <sheetView workbookViewId="0">
      <selection activeCell="H31" sqref="H31"/>
    </sheetView>
  </sheetViews>
  <sheetFormatPr defaultRowHeight="14.25"/>
  <cols>
    <col min="1" max="1" width="35.125" bestFit="1" customWidth="1"/>
    <col min="2" max="2" width="8.25" customWidth="1"/>
    <col min="3" max="3" width="11.25" style="8" bestFit="1" customWidth="1"/>
  </cols>
  <sheetData>
    <row r="1" spans="1:3">
      <c r="A1" s="24" t="s">
        <v>41</v>
      </c>
      <c r="B1" s="24" t="s">
        <v>43</v>
      </c>
      <c r="C1" s="25" t="s">
        <v>42</v>
      </c>
    </row>
    <row r="2" spans="1:3">
      <c r="A2" t="s">
        <v>19</v>
      </c>
      <c r="B2">
        <f>result_20260526!I164</f>
        <v>7</v>
      </c>
      <c r="C2" s="8">
        <f>B2/$B$18</f>
        <v>6.7307692307692304E-2</v>
      </c>
    </row>
    <row r="3" spans="1:3">
      <c r="A3" t="s">
        <v>1</v>
      </c>
      <c r="B3">
        <f>result_20260526!J164</f>
        <v>11</v>
      </c>
      <c r="C3" s="8">
        <f t="shared" ref="C3:C9" si="0">B3/$B$18</f>
        <v>0.10576923076923077</v>
      </c>
    </row>
    <row r="4" spans="1:3">
      <c r="A4" t="s">
        <v>22</v>
      </c>
      <c r="B4">
        <f>result_20260526!K164</f>
        <v>3</v>
      </c>
      <c r="C4" s="8">
        <f t="shared" si="0"/>
        <v>2.8846153846153848E-2</v>
      </c>
    </row>
    <row r="5" spans="1:3">
      <c r="A5" t="s">
        <v>18</v>
      </c>
      <c r="B5">
        <f>result_20260526!L164</f>
        <v>52</v>
      </c>
      <c r="C5" s="8">
        <f t="shared" si="0"/>
        <v>0.5</v>
      </c>
    </row>
    <row r="6" spans="1:3">
      <c r="A6" t="s">
        <v>20</v>
      </c>
      <c r="B6">
        <f>result_20260526!M164</f>
        <v>8</v>
      </c>
      <c r="C6" s="8">
        <f t="shared" si="0"/>
        <v>7.6923076923076927E-2</v>
      </c>
    </row>
    <row r="7" spans="1:3">
      <c r="A7" t="s">
        <v>25</v>
      </c>
      <c r="B7">
        <f>result_20260526!N164</f>
        <v>12</v>
      </c>
      <c r="C7" s="8">
        <f t="shared" si="0"/>
        <v>0.11538461538461539</v>
      </c>
    </row>
    <row r="8" spans="1:3">
      <c r="A8" t="s">
        <v>21</v>
      </c>
      <c r="B8">
        <f>result_20260526!O164</f>
        <v>15</v>
      </c>
      <c r="C8" s="8">
        <f t="shared" si="0"/>
        <v>0.14423076923076922</v>
      </c>
    </row>
    <row r="9" spans="1:3">
      <c r="A9" t="s">
        <v>24</v>
      </c>
      <c r="B9">
        <f>result_20260526!P164</f>
        <v>9</v>
      </c>
      <c r="C9" s="8">
        <f t="shared" si="0"/>
        <v>8.6538461538461536E-2</v>
      </c>
    </row>
    <row r="13" spans="1:3">
      <c r="A13" t="s">
        <v>0</v>
      </c>
      <c r="B13">
        <f>result_20260526!E164</f>
        <v>8</v>
      </c>
    </row>
    <row r="14" spans="1:3">
      <c r="A14" t="s">
        <v>16</v>
      </c>
      <c r="B14">
        <f>result_20260526!F164</f>
        <v>50</v>
      </c>
    </row>
    <row r="15" spans="1:3">
      <c r="A15" t="s">
        <v>23</v>
      </c>
      <c r="B15">
        <f>result_20260526!G164</f>
        <v>9</v>
      </c>
    </row>
    <row r="16" spans="1:3">
      <c r="A16" t="s">
        <v>17</v>
      </c>
      <c r="B16">
        <f>result_20260526!H164</f>
        <v>95</v>
      </c>
    </row>
    <row r="17" spans="1:2">
      <c r="A17" t="s">
        <v>34</v>
      </c>
      <c r="B17">
        <f>SUM(result_20260526!E164:H164)</f>
        <v>162</v>
      </c>
    </row>
    <row r="18" spans="1:2">
      <c r="A18" t="s">
        <v>40</v>
      </c>
      <c r="B18">
        <f>SUM(result_20260526!G164:H164)</f>
        <v>104</v>
      </c>
    </row>
  </sheetData>
  <phoneticPr fontId="1" type="noConversion"/>
  <conditionalFormatting sqref="C2:C9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{CF87013F-8D3F-491D-BEE9-FC516627158C}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F87013F-8D3F-491D-BEE9-FC516627158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C2:C9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726E8-315C-407A-8A20-ADEECEB211C9}">
  <sheetPr>
    <tabColor theme="7" tint="-0.249977111117893"/>
  </sheetPr>
  <dimension ref="B3:O32"/>
  <sheetViews>
    <sheetView showGridLines="0" tabSelected="1" topLeftCell="A11" zoomScaleNormal="100" workbookViewId="0">
      <selection activeCell="O33" sqref="O33"/>
    </sheetView>
  </sheetViews>
  <sheetFormatPr defaultColWidth="15.625" defaultRowHeight="30" customHeight="1"/>
  <sheetData>
    <row r="3" spans="2:15" ht="30" customHeight="1" thickBot="1">
      <c r="B3" s="26" t="s">
        <v>44</v>
      </c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</row>
    <row r="4" spans="2:15" ht="30" customHeight="1">
      <c r="B4" s="26"/>
      <c r="C4" s="27" t="s">
        <v>6</v>
      </c>
      <c r="D4" s="28" t="s">
        <v>9</v>
      </c>
      <c r="E4" s="29" t="s">
        <v>12</v>
      </c>
      <c r="F4" s="26"/>
      <c r="G4" s="30">
        <v>1</v>
      </c>
      <c r="H4" s="31">
        <v>2</v>
      </c>
      <c r="I4" s="31">
        <v>3</v>
      </c>
      <c r="J4" s="31">
        <v>4</v>
      </c>
      <c r="K4" s="31">
        <v>5</v>
      </c>
      <c r="L4" s="31">
        <v>6</v>
      </c>
      <c r="M4" s="31">
        <v>7</v>
      </c>
      <c r="N4" s="32">
        <v>8</v>
      </c>
      <c r="O4" s="26"/>
    </row>
    <row r="5" spans="2:15" ht="30" customHeight="1">
      <c r="B5" s="26"/>
      <c r="C5" s="33"/>
      <c r="D5" s="34"/>
      <c r="E5" s="35"/>
      <c r="F5" s="26"/>
      <c r="G5" s="36"/>
      <c r="H5" s="26"/>
      <c r="I5" s="26"/>
      <c r="J5" s="26"/>
      <c r="K5" s="26"/>
      <c r="L5" s="26"/>
      <c r="M5" s="26"/>
      <c r="N5" s="37"/>
      <c r="O5" s="26"/>
    </row>
    <row r="6" spans="2:15" ht="30" customHeight="1" thickBot="1">
      <c r="B6" s="26"/>
      <c r="C6" s="38" t="s">
        <v>7</v>
      </c>
      <c r="D6" s="39" t="s">
        <v>10</v>
      </c>
      <c r="E6" s="40" t="s">
        <v>13</v>
      </c>
      <c r="F6" s="26"/>
      <c r="G6" s="41" t="s">
        <v>26</v>
      </c>
      <c r="H6" s="42" t="s">
        <v>27</v>
      </c>
      <c r="I6" s="42" t="s">
        <v>28</v>
      </c>
      <c r="J6" s="42" t="s">
        <v>29</v>
      </c>
      <c r="K6" s="42" t="s">
        <v>30</v>
      </c>
      <c r="L6" s="42" t="s">
        <v>31</v>
      </c>
      <c r="M6" s="42" t="s">
        <v>32</v>
      </c>
      <c r="N6" s="43" t="s">
        <v>33</v>
      </c>
      <c r="O6" s="26"/>
    </row>
    <row r="7" spans="2:15" ht="30" customHeight="1">
      <c r="B7" s="26"/>
      <c r="C7" s="33"/>
      <c r="D7" s="34"/>
      <c r="E7" s="35"/>
      <c r="F7" s="26"/>
      <c r="G7" s="26"/>
      <c r="H7" s="26"/>
      <c r="I7" s="26"/>
      <c r="J7" s="26"/>
      <c r="K7" s="26"/>
      <c r="L7" s="26"/>
      <c r="M7" s="26"/>
      <c r="N7" s="26"/>
      <c r="O7" s="26"/>
    </row>
    <row r="8" spans="2:15" ht="30" customHeight="1">
      <c r="B8" s="26"/>
      <c r="C8" s="38" t="s">
        <v>8</v>
      </c>
      <c r="D8" s="39" t="s">
        <v>11</v>
      </c>
      <c r="E8" s="40" t="s">
        <v>14</v>
      </c>
      <c r="F8" s="26"/>
      <c r="G8" s="26"/>
      <c r="H8" s="26"/>
      <c r="I8" s="26"/>
      <c r="J8" s="26"/>
      <c r="K8" s="26"/>
      <c r="L8" s="26"/>
      <c r="M8" s="26"/>
      <c r="N8" s="26"/>
      <c r="O8" s="26"/>
    </row>
    <row r="9" spans="2:15" ht="30" customHeight="1" thickBot="1">
      <c r="B9" s="26"/>
      <c r="C9" s="44"/>
      <c r="D9" s="45"/>
      <c r="E9" s="46"/>
      <c r="F9" s="26"/>
      <c r="G9" s="26"/>
      <c r="H9" s="26"/>
      <c r="I9" s="26"/>
      <c r="J9" s="26"/>
      <c r="K9" s="26"/>
      <c r="L9" s="26"/>
      <c r="M9" s="26"/>
      <c r="N9" s="26"/>
      <c r="O9" s="26"/>
    </row>
    <row r="10" spans="2:15" ht="30" customHeight="1"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</row>
    <row r="11" spans="2:15" s="47" customFormat="1" ht="14.25"/>
    <row r="12" spans="2:15" ht="60" customHeight="1">
      <c r="B12" s="50" t="s">
        <v>70</v>
      </c>
      <c r="C12" s="48" t="s">
        <v>53</v>
      </c>
      <c r="D12" s="48" t="s">
        <v>47</v>
      </c>
      <c r="E12" s="48" t="s">
        <v>49</v>
      </c>
      <c r="F12" s="48" t="s">
        <v>51</v>
      </c>
      <c r="G12" s="48" t="s">
        <v>54</v>
      </c>
      <c r="H12" s="48" t="s">
        <v>55</v>
      </c>
      <c r="I12" s="48" t="s">
        <v>56</v>
      </c>
      <c r="J12" s="48" t="s">
        <v>57</v>
      </c>
      <c r="K12" s="48" t="s">
        <v>58</v>
      </c>
      <c r="L12" s="48" t="s">
        <v>59</v>
      </c>
    </row>
    <row r="13" spans="2:15" ht="30" customHeight="1">
      <c r="C13" s="49" t="s">
        <v>46</v>
      </c>
      <c r="D13" s="49" t="s">
        <v>48</v>
      </c>
      <c r="E13" s="49" t="s">
        <v>71</v>
      </c>
      <c r="F13" s="49" t="s">
        <v>52</v>
      </c>
      <c r="G13" s="49">
        <v>0.2</v>
      </c>
      <c r="H13" s="49">
        <v>2E-3</v>
      </c>
      <c r="I13" s="49">
        <v>3.5000000000000003E-2</v>
      </c>
      <c r="J13" s="49">
        <v>0.02</v>
      </c>
      <c r="K13" s="49">
        <v>0.5</v>
      </c>
      <c r="L13" s="51" t="s">
        <v>72</v>
      </c>
    </row>
    <row r="14" spans="2:15" ht="30" customHeight="1">
      <c r="C14" s="52" t="s">
        <v>61</v>
      </c>
      <c r="D14" s="52" t="s">
        <v>62</v>
      </c>
      <c r="E14" s="52" t="s">
        <v>63</v>
      </c>
      <c r="F14" s="52" t="s">
        <v>64</v>
      </c>
      <c r="G14" s="52" t="s">
        <v>65</v>
      </c>
      <c r="H14" s="52" t="s">
        <v>66</v>
      </c>
      <c r="I14" s="52" t="s">
        <v>67</v>
      </c>
    </row>
    <row r="15" spans="2:15" ht="30" customHeight="1">
      <c r="C15" s="51">
        <v>1.447416</v>
      </c>
      <c r="D15" s="51">
        <v>3.302368</v>
      </c>
      <c r="E15" s="51">
        <v>1.3658980000000001</v>
      </c>
      <c r="F15" s="51">
        <v>-9.5960000000000004E-3</v>
      </c>
      <c r="G15" s="51">
        <v>0.99959399999999998</v>
      </c>
      <c r="H15" s="51">
        <v>2.5939E-2</v>
      </c>
      <c r="I15" s="51">
        <v>-6.796E-3</v>
      </c>
    </row>
    <row r="17" spans="3:14" ht="30" customHeight="1" thickBot="1"/>
    <row r="18" spans="3:14" ht="30" customHeight="1" thickBot="1">
      <c r="D18" s="1" t="s">
        <v>38</v>
      </c>
      <c r="G18" s="5">
        <v>1</v>
      </c>
      <c r="H18" s="6">
        <v>2</v>
      </c>
      <c r="I18" s="6">
        <v>3</v>
      </c>
      <c r="J18" s="6">
        <v>4</v>
      </c>
      <c r="K18" s="6">
        <v>5</v>
      </c>
      <c r="L18" s="6">
        <v>6</v>
      </c>
      <c r="M18" s="6">
        <v>7</v>
      </c>
      <c r="N18" s="7">
        <v>8</v>
      </c>
    </row>
    <row r="19" spans="3:14" ht="30" customHeight="1" thickBot="1">
      <c r="G19" s="22">
        <f>sum_orient_20260605!P2</f>
        <v>0.59259259259259256</v>
      </c>
      <c r="H19" s="9">
        <f>sum_orient_20260605!P3</f>
        <v>7.407407407407407E-2</v>
      </c>
      <c r="I19" s="9">
        <f>sum_orient_20260605!P4</f>
        <v>0</v>
      </c>
      <c r="J19" s="9">
        <f>sum_orient_20260605!P5</f>
        <v>0.88888888888888884</v>
      </c>
      <c r="K19" s="9">
        <f>sum_orient_20260605!P6</f>
        <v>0.3888888888888889</v>
      </c>
      <c r="L19" s="9">
        <f>sum_orient_20260605!P7</f>
        <v>0.3888888888888889</v>
      </c>
      <c r="M19" s="9">
        <f>sum_orient_20260605!P8</f>
        <v>0.22222222222222221</v>
      </c>
      <c r="N19" s="23">
        <f>sum_orient_20260605!P9</f>
        <v>0.72222222222222221</v>
      </c>
    </row>
    <row r="20" spans="3:14" ht="30" customHeight="1" thickBot="1">
      <c r="C20" s="12" t="s">
        <v>6</v>
      </c>
      <c r="D20" s="13" t="s">
        <v>9</v>
      </c>
      <c r="E20" s="14" t="s">
        <v>12</v>
      </c>
      <c r="G20" s="2" t="s">
        <v>26</v>
      </c>
      <c r="H20" s="3" t="s">
        <v>27</v>
      </c>
      <c r="I20" s="3" t="s">
        <v>28</v>
      </c>
      <c r="J20" s="3" t="s">
        <v>29</v>
      </c>
      <c r="K20" s="3" t="s">
        <v>30</v>
      </c>
      <c r="L20" s="3" t="s">
        <v>31</v>
      </c>
      <c r="M20" s="3" t="s">
        <v>32</v>
      </c>
      <c r="N20" s="4" t="s">
        <v>33</v>
      </c>
    </row>
    <row r="21" spans="3:14" ht="30" customHeight="1">
      <c r="C21" s="15">
        <f>sum_pos_20260605!P2</f>
        <v>0.45833333333333331</v>
      </c>
      <c r="D21" s="11">
        <f>sum_pos_20260605!P5</f>
        <v>0.375</v>
      </c>
      <c r="E21" s="16">
        <f>sum_pos_20260605!P8</f>
        <v>0.33333333333333331</v>
      </c>
    </row>
    <row r="22" spans="3:14" ht="30" customHeight="1">
      <c r="C22" s="17" t="s">
        <v>7</v>
      </c>
      <c r="D22" s="10" t="s">
        <v>10</v>
      </c>
      <c r="E22" s="18" t="s">
        <v>13</v>
      </c>
    </row>
    <row r="23" spans="3:14" ht="30" customHeight="1">
      <c r="C23" s="15">
        <f>sum_pos_20260605!P3</f>
        <v>0.5</v>
      </c>
      <c r="D23" s="11">
        <f>sum_pos_20260605!P6</f>
        <v>0.5</v>
      </c>
      <c r="E23" s="16">
        <f>sum_pos_20260605!P9</f>
        <v>0.16666666666666666</v>
      </c>
    </row>
    <row r="24" spans="3:14" ht="30" customHeight="1">
      <c r="C24" s="17" t="s">
        <v>8</v>
      </c>
      <c r="D24" s="10" t="s">
        <v>11</v>
      </c>
      <c r="E24" s="18" t="s">
        <v>14</v>
      </c>
    </row>
    <row r="25" spans="3:14" ht="30" customHeight="1" thickBot="1">
      <c r="C25" s="19">
        <f>sum_pos_20260605!P4</f>
        <v>0.33333333333333331</v>
      </c>
      <c r="D25" s="20">
        <f>sum_pos_20260605!P7</f>
        <v>0.5</v>
      </c>
      <c r="E25" s="21">
        <f>sum_pos_20260605!P10</f>
        <v>0.41666666666666669</v>
      </c>
    </row>
    <row r="32" spans="3:14" s="47" customFormat="1" ht="10.5" customHeight="1"/>
  </sheetData>
  <phoneticPr fontId="1" type="noConversion"/>
  <conditionalFormatting sqref="C4:E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0:E2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9:N1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63E77-EE44-42B3-ACD0-800B48D3E7DF}">
  <sheetPr>
    <tabColor theme="7" tint="-0.249977111117893"/>
  </sheetPr>
  <dimension ref="A1:Q164"/>
  <sheetViews>
    <sheetView workbookViewId="0">
      <pane xSplit="4" ySplit="1" topLeftCell="E134" activePane="bottomRight" state="frozen"/>
      <selection activeCell="O33" sqref="O33"/>
      <selection pane="topRight" activeCell="O33" sqref="O33"/>
      <selection pane="bottomLeft" activeCell="O33" sqref="O33"/>
      <selection pane="bottomRight" activeCell="O33" sqref="O33"/>
    </sheetView>
  </sheetViews>
  <sheetFormatPr defaultRowHeight="14.25"/>
  <cols>
    <col min="9" max="9" width="13.625" customWidth="1"/>
    <col min="10" max="10" width="17.25" customWidth="1"/>
    <col min="11" max="11" width="14" customWidth="1"/>
    <col min="12" max="13" width="31" customWidth="1"/>
    <col min="14" max="14" width="14.625" customWidth="1"/>
    <col min="15" max="15" width="19.125" customWidth="1"/>
  </cols>
  <sheetData>
    <row r="1" spans="1:17">
      <c r="A1" t="s">
        <v>4</v>
      </c>
      <c r="B1" t="s">
        <v>3</v>
      </c>
      <c r="C1" t="s">
        <v>5</v>
      </c>
      <c r="D1" t="s">
        <v>15</v>
      </c>
      <c r="E1" t="s">
        <v>0</v>
      </c>
      <c r="F1" t="s">
        <v>16</v>
      </c>
      <c r="G1" t="s">
        <v>23</v>
      </c>
      <c r="H1" t="s">
        <v>17</v>
      </c>
      <c r="I1" t="s">
        <v>19</v>
      </c>
      <c r="J1" t="s">
        <v>1</v>
      </c>
      <c r="K1" t="s">
        <v>22</v>
      </c>
      <c r="L1" t="s">
        <v>68</v>
      </c>
      <c r="M1" t="s">
        <v>2</v>
      </c>
      <c r="N1" t="s">
        <v>20</v>
      </c>
      <c r="O1" t="s">
        <v>25</v>
      </c>
      <c r="P1" t="s">
        <v>21</v>
      </c>
      <c r="Q1" t="s">
        <v>24</v>
      </c>
    </row>
    <row r="2" spans="1:17">
      <c r="A2">
        <v>1</v>
      </c>
      <c r="B2" t="s">
        <v>6</v>
      </c>
      <c r="C2">
        <v>1</v>
      </c>
      <c r="D2" t="str">
        <f t="shared" ref="D2:D65" si="0">A2&amp;"-"&amp;B2&amp;"-"&amp;C2</f>
        <v>1-A-1</v>
      </c>
      <c r="H2">
        <v>1</v>
      </c>
      <c r="L2">
        <v>1</v>
      </c>
    </row>
    <row r="3" spans="1:17">
      <c r="A3">
        <v>1</v>
      </c>
      <c r="B3" t="s">
        <v>6</v>
      </c>
      <c r="C3">
        <v>2</v>
      </c>
      <c r="D3" t="str">
        <f t="shared" si="0"/>
        <v>1-A-2</v>
      </c>
      <c r="E3">
        <v>1</v>
      </c>
    </row>
    <row r="4" spans="1:17">
      <c r="A4">
        <v>1</v>
      </c>
      <c r="B4" t="s">
        <v>6</v>
      </c>
      <c r="C4">
        <v>3</v>
      </c>
      <c r="D4" t="str">
        <f t="shared" si="0"/>
        <v>1-A-3</v>
      </c>
      <c r="E4">
        <v>1</v>
      </c>
    </row>
    <row r="5" spans="1:17">
      <c r="A5">
        <v>1</v>
      </c>
      <c r="B5" t="s">
        <v>7</v>
      </c>
      <c r="C5">
        <v>1</v>
      </c>
      <c r="D5" t="str">
        <f t="shared" si="0"/>
        <v>1-B-1</v>
      </c>
      <c r="E5">
        <v>1</v>
      </c>
    </row>
    <row r="6" spans="1:17">
      <c r="A6">
        <v>1</v>
      </c>
      <c r="B6" t="s">
        <v>7</v>
      </c>
      <c r="C6">
        <v>2</v>
      </c>
      <c r="D6" t="str">
        <f t="shared" si="0"/>
        <v>1-B-2</v>
      </c>
      <c r="E6">
        <v>1</v>
      </c>
    </row>
    <row r="7" spans="1:17">
      <c r="A7">
        <v>1</v>
      </c>
      <c r="B7" t="s">
        <v>7</v>
      </c>
      <c r="C7">
        <v>3</v>
      </c>
      <c r="D7" t="str">
        <f t="shared" si="0"/>
        <v>1-B-3</v>
      </c>
      <c r="E7">
        <v>1</v>
      </c>
    </row>
    <row r="8" spans="1:17">
      <c r="A8">
        <v>1</v>
      </c>
      <c r="B8" t="s">
        <v>8</v>
      </c>
      <c r="C8">
        <v>1</v>
      </c>
      <c r="D8" t="str">
        <f t="shared" si="0"/>
        <v>1-C-1</v>
      </c>
      <c r="H8">
        <v>1</v>
      </c>
      <c r="L8">
        <v>1</v>
      </c>
    </row>
    <row r="9" spans="1:17">
      <c r="A9">
        <v>1</v>
      </c>
      <c r="B9" t="s">
        <v>8</v>
      </c>
      <c r="C9">
        <v>2</v>
      </c>
      <c r="D9" t="str">
        <f t="shared" si="0"/>
        <v>1-C-2</v>
      </c>
      <c r="H9">
        <v>1</v>
      </c>
      <c r="P9">
        <v>1</v>
      </c>
    </row>
    <row r="10" spans="1:17">
      <c r="A10">
        <v>1</v>
      </c>
      <c r="B10" t="s">
        <v>8</v>
      </c>
      <c r="C10">
        <v>3</v>
      </c>
      <c r="D10" t="str">
        <f t="shared" si="0"/>
        <v>1-C-3</v>
      </c>
      <c r="H10">
        <v>1</v>
      </c>
      <c r="P10">
        <v>1</v>
      </c>
    </row>
    <row r="11" spans="1:17">
      <c r="A11">
        <v>1</v>
      </c>
      <c r="B11" t="s">
        <v>9</v>
      </c>
      <c r="C11">
        <v>1</v>
      </c>
      <c r="D11" t="str">
        <f t="shared" si="0"/>
        <v>1-D-1</v>
      </c>
      <c r="E11">
        <v>1</v>
      </c>
    </row>
    <row r="12" spans="1:17">
      <c r="A12">
        <v>1</v>
      </c>
      <c r="B12" t="s">
        <v>9</v>
      </c>
      <c r="C12">
        <v>2</v>
      </c>
      <c r="D12" t="str">
        <f t="shared" si="0"/>
        <v>1-D-2</v>
      </c>
      <c r="E12">
        <v>1</v>
      </c>
    </row>
    <row r="13" spans="1:17">
      <c r="A13">
        <v>1</v>
      </c>
      <c r="B13" t="s">
        <v>9</v>
      </c>
      <c r="C13">
        <v>3</v>
      </c>
      <c r="D13" t="str">
        <f t="shared" si="0"/>
        <v>1-D-3</v>
      </c>
      <c r="E13">
        <v>1</v>
      </c>
    </row>
    <row r="14" spans="1:17">
      <c r="A14">
        <v>1</v>
      </c>
      <c r="B14" t="s">
        <v>10</v>
      </c>
      <c r="C14">
        <v>1</v>
      </c>
      <c r="D14" t="str">
        <f t="shared" si="0"/>
        <v>1-E-1</v>
      </c>
      <c r="E14">
        <v>1</v>
      </c>
    </row>
    <row r="15" spans="1:17">
      <c r="A15">
        <v>1</v>
      </c>
      <c r="B15" t="s">
        <v>10</v>
      </c>
      <c r="C15">
        <v>2</v>
      </c>
      <c r="D15" t="str">
        <f t="shared" si="0"/>
        <v>1-E-2</v>
      </c>
      <c r="E15">
        <v>1</v>
      </c>
    </row>
    <row r="16" spans="1:17">
      <c r="A16">
        <v>1</v>
      </c>
      <c r="B16" t="s">
        <v>10</v>
      </c>
      <c r="C16">
        <v>3</v>
      </c>
      <c r="D16" t="str">
        <f t="shared" si="0"/>
        <v>1-E-3</v>
      </c>
      <c r="E16">
        <v>1</v>
      </c>
    </row>
    <row r="17" spans="1:17">
      <c r="A17">
        <v>1</v>
      </c>
      <c r="B17" t="s">
        <v>11</v>
      </c>
      <c r="C17">
        <v>1</v>
      </c>
      <c r="D17" t="str">
        <f t="shared" si="0"/>
        <v>1-F-1</v>
      </c>
      <c r="H17">
        <v>1</v>
      </c>
      <c r="L17">
        <v>1</v>
      </c>
    </row>
    <row r="18" spans="1:17">
      <c r="A18">
        <v>1</v>
      </c>
      <c r="B18" t="s">
        <v>11</v>
      </c>
      <c r="C18">
        <v>2</v>
      </c>
      <c r="D18" t="str">
        <f t="shared" si="0"/>
        <v>1-F-2</v>
      </c>
      <c r="E18">
        <v>1</v>
      </c>
    </row>
    <row r="19" spans="1:17">
      <c r="A19">
        <v>1</v>
      </c>
      <c r="B19" t="s">
        <v>11</v>
      </c>
      <c r="C19">
        <v>3</v>
      </c>
      <c r="D19" t="str">
        <f t="shared" si="0"/>
        <v>1-F-3</v>
      </c>
      <c r="H19">
        <v>1</v>
      </c>
      <c r="L19">
        <v>1</v>
      </c>
    </row>
    <row r="20" spans="1:17">
      <c r="A20">
        <v>1</v>
      </c>
      <c r="B20" t="s">
        <v>12</v>
      </c>
      <c r="C20">
        <v>1</v>
      </c>
      <c r="D20" t="str">
        <f t="shared" si="0"/>
        <v>1-G-1</v>
      </c>
      <c r="F20">
        <v>1</v>
      </c>
      <c r="Q20">
        <v>1</v>
      </c>
    </row>
    <row r="21" spans="1:17">
      <c r="A21">
        <v>1</v>
      </c>
      <c r="B21" t="s">
        <v>12</v>
      </c>
      <c r="C21">
        <v>2</v>
      </c>
      <c r="D21" t="str">
        <f t="shared" si="0"/>
        <v>1-G-2</v>
      </c>
      <c r="H21">
        <v>1</v>
      </c>
      <c r="L21">
        <v>1</v>
      </c>
    </row>
    <row r="22" spans="1:17">
      <c r="A22">
        <v>1</v>
      </c>
      <c r="B22" t="s">
        <v>12</v>
      </c>
      <c r="C22">
        <v>3</v>
      </c>
      <c r="D22" t="str">
        <f t="shared" si="0"/>
        <v>1-G-3</v>
      </c>
      <c r="H22">
        <v>1</v>
      </c>
      <c r="L22">
        <v>1</v>
      </c>
    </row>
    <row r="23" spans="1:17">
      <c r="A23">
        <v>1</v>
      </c>
      <c r="B23" t="s">
        <v>13</v>
      </c>
      <c r="C23">
        <v>1</v>
      </c>
      <c r="D23" t="str">
        <f t="shared" si="0"/>
        <v>1-H-1</v>
      </c>
      <c r="E23">
        <v>1</v>
      </c>
    </row>
    <row r="24" spans="1:17">
      <c r="A24">
        <v>1</v>
      </c>
      <c r="B24" t="s">
        <v>13</v>
      </c>
      <c r="C24">
        <v>2</v>
      </c>
      <c r="D24" t="str">
        <f t="shared" si="0"/>
        <v>1-H-2</v>
      </c>
      <c r="H24">
        <v>1</v>
      </c>
      <c r="L24">
        <v>1</v>
      </c>
    </row>
    <row r="25" spans="1:17">
      <c r="A25">
        <v>1</v>
      </c>
      <c r="B25" t="s">
        <v>13</v>
      </c>
      <c r="C25">
        <v>3</v>
      </c>
      <c r="D25" t="str">
        <f t="shared" si="0"/>
        <v>1-H-3</v>
      </c>
      <c r="H25">
        <v>1</v>
      </c>
      <c r="L25">
        <v>1</v>
      </c>
    </row>
    <row r="26" spans="1:17">
      <c r="A26">
        <v>1</v>
      </c>
      <c r="B26" t="s">
        <v>14</v>
      </c>
      <c r="C26">
        <v>1</v>
      </c>
      <c r="D26" t="str">
        <f t="shared" si="0"/>
        <v>1-I-1</v>
      </c>
      <c r="E26">
        <v>1</v>
      </c>
    </row>
    <row r="27" spans="1:17">
      <c r="A27">
        <v>1</v>
      </c>
      <c r="B27" t="s">
        <v>14</v>
      </c>
      <c r="C27">
        <v>2</v>
      </c>
      <c r="D27" t="str">
        <f t="shared" si="0"/>
        <v>1-I-2</v>
      </c>
      <c r="E27">
        <v>1</v>
      </c>
    </row>
    <row r="28" spans="1:17">
      <c r="A28">
        <v>1</v>
      </c>
      <c r="B28" t="s">
        <v>14</v>
      </c>
      <c r="C28">
        <v>3</v>
      </c>
      <c r="D28" t="str">
        <f t="shared" si="0"/>
        <v>1-I-3</v>
      </c>
      <c r="H28">
        <v>1</v>
      </c>
      <c r="L28">
        <v>1</v>
      </c>
    </row>
    <row r="29" spans="1:17">
      <c r="A29">
        <v>2</v>
      </c>
      <c r="B29" t="s">
        <v>6</v>
      </c>
      <c r="C29">
        <v>1</v>
      </c>
      <c r="D29" t="str">
        <f t="shared" si="0"/>
        <v>2-A-1</v>
      </c>
      <c r="H29">
        <v>1</v>
      </c>
      <c r="L29">
        <v>1</v>
      </c>
    </row>
    <row r="30" spans="1:17">
      <c r="A30">
        <v>2</v>
      </c>
      <c r="B30" t="s">
        <v>6</v>
      </c>
      <c r="C30">
        <v>2</v>
      </c>
      <c r="D30" t="str">
        <f t="shared" si="0"/>
        <v>2-A-2</v>
      </c>
      <c r="H30">
        <v>1</v>
      </c>
      <c r="L30">
        <v>1</v>
      </c>
    </row>
    <row r="31" spans="1:17">
      <c r="A31">
        <v>2</v>
      </c>
      <c r="B31" t="s">
        <v>6</v>
      </c>
      <c r="C31">
        <v>3</v>
      </c>
      <c r="D31" t="str">
        <f t="shared" si="0"/>
        <v>2-A-3</v>
      </c>
      <c r="F31">
        <v>1</v>
      </c>
    </row>
    <row r="32" spans="1:17">
      <c r="A32">
        <v>2</v>
      </c>
      <c r="B32" t="s">
        <v>7</v>
      </c>
      <c r="C32">
        <v>1</v>
      </c>
      <c r="D32" t="str">
        <f t="shared" si="0"/>
        <v>2-B-1</v>
      </c>
      <c r="H32">
        <v>1</v>
      </c>
      <c r="L32">
        <v>1</v>
      </c>
    </row>
    <row r="33" spans="1:16">
      <c r="A33">
        <v>2</v>
      </c>
      <c r="B33" t="s">
        <v>7</v>
      </c>
      <c r="C33">
        <v>2</v>
      </c>
      <c r="D33" t="str">
        <f t="shared" si="0"/>
        <v>2-B-2</v>
      </c>
      <c r="H33">
        <v>1</v>
      </c>
      <c r="L33">
        <v>1</v>
      </c>
    </row>
    <row r="34" spans="1:16">
      <c r="A34">
        <v>2</v>
      </c>
      <c r="B34" t="s">
        <v>7</v>
      </c>
      <c r="C34">
        <v>3</v>
      </c>
      <c r="D34" t="str">
        <f t="shared" si="0"/>
        <v>2-B-3</v>
      </c>
      <c r="H34">
        <v>1</v>
      </c>
      <c r="L34">
        <v>1</v>
      </c>
    </row>
    <row r="35" spans="1:16">
      <c r="A35">
        <v>2</v>
      </c>
      <c r="B35" t="s">
        <v>8</v>
      </c>
      <c r="C35">
        <v>1</v>
      </c>
      <c r="D35" t="str">
        <f t="shared" si="0"/>
        <v>2-C-1</v>
      </c>
      <c r="H35">
        <v>1</v>
      </c>
      <c r="L35">
        <v>1</v>
      </c>
    </row>
    <row r="36" spans="1:16">
      <c r="A36">
        <v>2</v>
      </c>
      <c r="B36" t="s">
        <v>8</v>
      </c>
      <c r="C36">
        <v>2</v>
      </c>
      <c r="D36" t="str">
        <f t="shared" si="0"/>
        <v>2-C-2</v>
      </c>
      <c r="H36">
        <v>1</v>
      </c>
      <c r="L36">
        <v>1</v>
      </c>
    </row>
    <row r="37" spans="1:16">
      <c r="A37">
        <v>2</v>
      </c>
      <c r="B37" t="s">
        <v>8</v>
      </c>
      <c r="C37">
        <v>3</v>
      </c>
      <c r="D37" t="str">
        <f t="shared" si="0"/>
        <v>2-C-3</v>
      </c>
      <c r="H37">
        <v>1</v>
      </c>
      <c r="L37">
        <v>1</v>
      </c>
    </row>
    <row r="38" spans="1:16">
      <c r="A38">
        <v>2</v>
      </c>
      <c r="B38" t="s">
        <v>9</v>
      </c>
      <c r="C38">
        <v>1</v>
      </c>
      <c r="D38" t="str">
        <f t="shared" si="0"/>
        <v>2-D-1</v>
      </c>
      <c r="H38">
        <v>1</v>
      </c>
      <c r="L38">
        <v>1</v>
      </c>
    </row>
    <row r="39" spans="1:16">
      <c r="A39">
        <v>2</v>
      </c>
      <c r="B39" t="s">
        <v>9</v>
      </c>
      <c r="C39">
        <v>2</v>
      </c>
      <c r="D39" t="str">
        <f t="shared" si="0"/>
        <v>2-D-2</v>
      </c>
      <c r="H39">
        <v>1</v>
      </c>
      <c r="L39">
        <v>1</v>
      </c>
    </row>
    <row r="40" spans="1:16">
      <c r="A40">
        <v>2</v>
      </c>
      <c r="B40" t="s">
        <v>9</v>
      </c>
      <c r="C40">
        <v>3</v>
      </c>
      <c r="D40" t="str">
        <f t="shared" si="0"/>
        <v>2-D-3</v>
      </c>
      <c r="H40">
        <v>1</v>
      </c>
      <c r="L40">
        <v>1</v>
      </c>
    </row>
    <row r="41" spans="1:16">
      <c r="A41">
        <v>2</v>
      </c>
      <c r="B41" t="s">
        <v>10</v>
      </c>
      <c r="C41">
        <v>1</v>
      </c>
      <c r="D41" t="str">
        <f t="shared" si="0"/>
        <v>2-E-1</v>
      </c>
      <c r="H41">
        <v>1</v>
      </c>
      <c r="L41">
        <v>1</v>
      </c>
    </row>
    <row r="42" spans="1:16">
      <c r="A42">
        <v>2</v>
      </c>
      <c r="B42" t="s">
        <v>10</v>
      </c>
      <c r="C42">
        <v>2</v>
      </c>
      <c r="D42" t="str">
        <f t="shared" si="0"/>
        <v>2-E-2</v>
      </c>
      <c r="H42">
        <v>1</v>
      </c>
      <c r="L42">
        <v>1</v>
      </c>
    </row>
    <row r="43" spans="1:16">
      <c r="A43">
        <v>2</v>
      </c>
      <c r="B43" t="s">
        <v>10</v>
      </c>
      <c r="C43">
        <v>3</v>
      </c>
      <c r="D43" t="str">
        <f t="shared" si="0"/>
        <v>2-E-3</v>
      </c>
      <c r="H43">
        <v>1</v>
      </c>
      <c r="L43">
        <v>1</v>
      </c>
    </row>
    <row r="44" spans="1:16">
      <c r="A44">
        <v>2</v>
      </c>
      <c r="B44" t="s">
        <v>11</v>
      </c>
      <c r="C44">
        <v>1</v>
      </c>
      <c r="D44" t="str">
        <f t="shared" si="0"/>
        <v>2-F-1</v>
      </c>
      <c r="F44">
        <v>1</v>
      </c>
    </row>
    <row r="45" spans="1:16">
      <c r="A45">
        <v>2</v>
      </c>
      <c r="B45" t="s">
        <v>11</v>
      </c>
      <c r="C45">
        <v>2</v>
      </c>
      <c r="D45" t="str">
        <f t="shared" si="0"/>
        <v>2-F-2</v>
      </c>
      <c r="H45">
        <v>1</v>
      </c>
      <c r="L45">
        <v>1</v>
      </c>
    </row>
    <row r="46" spans="1:16">
      <c r="A46">
        <v>2</v>
      </c>
      <c r="B46" t="s">
        <v>11</v>
      </c>
      <c r="C46">
        <v>3</v>
      </c>
      <c r="D46" t="str">
        <f t="shared" si="0"/>
        <v>2-F-3</v>
      </c>
      <c r="H46">
        <v>1</v>
      </c>
      <c r="P46">
        <v>1</v>
      </c>
    </row>
    <row r="47" spans="1:16">
      <c r="A47">
        <v>2</v>
      </c>
      <c r="B47" t="s">
        <v>12</v>
      </c>
      <c r="C47">
        <v>1</v>
      </c>
      <c r="D47" t="str">
        <f t="shared" si="0"/>
        <v>2-G-1</v>
      </c>
      <c r="H47">
        <v>1</v>
      </c>
      <c r="L47">
        <v>1</v>
      </c>
    </row>
    <row r="48" spans="1:16">
      <c r="A48">
        <v>2</v>
      </c>
      <c r="B48" t="s">
        <v>12</v>
      </c>
      <c r="C48">
        <v>2</v>
      </c>
      <c r="D48" t="str">
        <f t="shared" si="0"/>
        <v>2-G-2</v>
      </c>
      <c r="H48">
        <v>1</v>
      </c>
      <c r="L48">
        <v>1</v>
      </c>
    </row>
    <row r="49" spans="1:16">
      <c r="A49">
        <v>2</v>
      </c>
      <c r="B49" t="s">
        <v>12</v>
      </c>
      <c r="C49">
        <v>3</v>
      </c>
      <c r="D49" t="str">
        <f t="shared" si="0"/>
        <v>2-G-3</v>
      </c>
      <c r="H49">
        <v>1</v>
      </c>
      <c r="L49">
        <v>1</v>
      </c>
    </row>
    <row r="50" spans="1:16">
      <c r="A50">
        <v>2</v>
      </c>
      <c r="B50" t="s">
        <v>13</v>
      </c>
      <c r="C50">
        <v>1</v>
      </c>
      <c r="D50" t="str">
        <f t="shared" si="0"/>
        <v>2-H-1</v>
      </c>
      <c r="H50">
        <v>1</v>
      </c>
      <c r="L50">
        <v>1</v>
      </c>
    </row>
    <row r="51" spans="1:16">
      <c r="A51">
        <v>2</v>
      </c>
      <c r="B51" t="s">
        <v>13</v>
      </c>
      <c r="C51">
        <v>2</v>
      </c>
      <c r="D51" t="str">
        <f t="shared" si="0"/>
        <v>2-H-2</v>
      </c>
      <c r="H51">
        <v>1</v>
      </c>
      <c r="L51">
        <v>1</v>
      </c>
    </row>
    <row r="52" spans="1:16">
      <c r="A52">
        <v>2</v>
      </c>
      <c r="B52" t="s">
        <v>13</v>
      </c>
      <c r="C52">
        <v>3</v>
      </c>
      <c r="D52" t="str">
        <f t="shared" si="0"/>
        <v>2-H-3</v>
      </c>
      <c r="H52">
        <v>1</v>
      </c>
      <c r="L52">
        <v>1</v>
      </c>
    </row>
    <row r="53" spans="1:16">
      <c r="A53">
        <v>2</v>
      </c>
      <c r="B53" t="s">
        <v>14</v>
      </c>
      <c r="C53">
        <v>1</v>
      </c>
      <c r="D53" t="str">
        <f t="shared" si="0"/>
        <v>2-I-1</v>
      </c>
      <c r="H53">
        <v>1</v>
      </c>
      <c r="P53">
        <v>1</v>
      </c>
    </row>
    <row r="54" spans="1:16">
      <c r="A54">
        <v>2</v>
      </c>
      <c r="B54" t="s">
        <v>14</v>
      </c>
      <c r="C54">
        <v>2</v>
      </c>
      <c r="D54" t="str">
        <f t="shared" si="0"/>
        <v>2-I-2</v>
      </c>
      <c r="H54">
        <v>1</v>
      </c>
      <c r="P54">
        <v>1</v>
      </c>
    </row>
    <row r="55" spans="1:16">
      <c r="A55">
        <v>2</v>
      </c>
      <c r="B55" t="s">
        <v>14</v>
      </c>
      <c r="C55">
        <v>3</v>
      </c>
      <c r="D55" t="str">
        <f t="shared" si="0"/>
        <v>2-I-3</v>
      </c>
      <c r="H55">
        <v>1</v>
      </c>
      <c r="L55">
        <v>1</v>
      </c>
    </row>
    <row r="56" spans="1:16">
      <c r="A56">
        <v>3</v>
      </c>
      <c r="B56" t="s">
        <v>6</v>
      </c>
      <c r="C56">
        <v>1</v>
      </c>
      <c r="D56" t="str">
        <f t="shared" si="0"/>
        <v>3-A-1</v>
      </c>
      <c r="H56">
        <v>1</v>
      </c>
      <c r="O56">
        <v>1</v>
      </c>
    </row>
    <row r="57" spans="1:16">
      <c r="A57">
        <v>3</v>
      </c>
      <c r="B57" t="s">
        <v>6</v>
      </c>
      <c r="C57">
        <v>2</v>
      </c>
      <c r="D57" t="str">
        <f t="shared" si="0"/>
        <v>3-A-2</v>
      </c>
      <c r="H57">
        <v>1</v>
      </c>
      <c r="O57">
        <v>1</v>
      </c>
    </row>
    <row r="58" spans="1:16">
      <c r="A58">
        <v>3</v>
      </c>
      <c r="B58" t="s">
        <v>6</v>
      </c>
      <c r="C58">
        <v>3</v>
      </c>
      <c r="D58" t="str">
        <f t="shared" si="0"/>
        <v>3-A-3</v>
      </c>
      <c r="H58">
        <v>1</v>
      </c>
      <c r="L58">
        <v>1</v>
      </c>
    </row>
    <row r="59" spans="1:16">
      <c r="A59">
        <v>3</v>
      </c>
      <c r="B59" t="s">
        <v>8</v>
      </c>
      <c r="C59">
        <v>1</v>
      </c>
      <c r="D59" t="str">
        <f t="shared" si="0"/>
        <v>3-C-1</v>
      </c>
      <c r="H59">
        <v>1</v>
      </c>
      <c r="L59">
        <v>1</v>
      </c>
    </row>
    <row r="60" spans="1:16">
      <c r="A60">
        <v>3</v>
      </c>
      <c r="B60" t="s">
        <v>8</v>
      </c>
      <c r="C60">
        <v>2</v>
      </c>
      <c r="D60" t="str">
        <f t="shared" si="0"/>
        <v>3-C-2</v>
      </c>
      <c r="H60">
        <v>1</v>
      </c>
      <c r="L60">
        <v>1</v>
      </c>
    </row>
    <row r="61" spans="1:16">
      <c r="A61">
        <v>3</v>
      </c>
      <c r="B61" t="s">
        <v>8</v>
      </c>
      <c r="C61">
        <v>3</v>
      </c>
      <c r="D61" t="str">
        <f t="shared" si="0"/>
        <v>3-C-3</v>
      </c>
      <c r="H61">
        <v>1</v>
      </c>
      <c r="J61">
        <v>1</v>
      </c>
    </row>
    <row r="62" spans="1:16">
      <c r="A62">
        <v>3</v>
      </c>
      <c r="B62" t="s">
        <v>9</v>
      </c>
      <c r="C62">
        <v>1</v>
      </c>
      <c r="D62" t="str">
        <f t="shared" si="0"/>
        <v>3-D-1</v>
      </c>
      <c r="H62">
        <v>1</v>
      </c>
      <c r="O62">
        <v>1</v>
      </c>
    </row>
    <row r="63" spans="1:16">
      <c r="A63">
        <v>3</v>
      </c>
      <c r="B63" t="s">
        <v>9</v>
      </c>
      <c r="C63">
        <v>2</v>
      </c>
      <c r="D63" t="str">
        <f t="shared" si="0"/>
        <v>3-D-2</v>
      </c>
      <c r="H63">
        <v>1</v>
      </c>
      <c r="O63">
        <v>1</v>
      </c>
    </row>
    <row r="64" spans="1:16">
      <c r="A64">
        <v>3</v>
      </c>
      <c r="B64" t="s">
        <v>9</v>
      </c>
      <c r="C64">
        <v>3</v>
      </c>
      <c r="D64" t="str">
        <f t="shared" si="0"/>
        <v>3-D-3</v>
      </c>
      <c r="H64">
        <v>1</v>
      </c>
      <c r="O64">
        <v>1</v>
      </c>
    </row>
    <row r="65" spans="1:15">
      <c r="A65">
        <v>3</v>
      </c>
      <c r="B65" t="s">
        <v>11</v>
      </c>
      <c r="C65">
        <v>1</v>
      </c>
      <c r="D65" t="str">
        <f t="shared" si="0"/>
        <v>3-F-1</v>
      </c>
      <c r="H65">
        <v>1</v>
      </c>
      <c r="L65">
        <v>1</v>
      </c>
    </row>
    <row r="66" spans="1:15">
      <c r="A66">
        <v>3</v>
      </c>
      <c r="B66" t="s">
        <v>11</v>
      </c>
      <c r="C66">
        <v>2</v>
      </c>
      <c r="D66" t="str">
        <f t="shared" ref="D66:D129" si="1">A66&amp;"-"&amp;B66&amp;"-"&amp;C66</f>
        <v>3-F-2</v>
      </c>
      <c r="H66">
        <v>1</v>
      </c>
      <c r="O66">
        <v>1</v>
      </c>
    </row>
    <row r="67" spans="1:15">
      <c r="A67">
        <v>3</v>
      </c>
      <c r="B67" t="s">
        <v>11</v>
      </c>
      <c r="C67">
        <v>3</v>
      </c>
      <c r="D67" t="str">
        <f t="shared" si="1"/>
        <v>3-F-3</v>
      </c>
      <c r="H67">
        <v>1</v>
      </c>
      <c r="L67">
        <v>1</v>
      </c>
    </row>
    <row r="68" spans="1:15">
      <c r="A68">
        <v>3</v>
      </c>
      <c r="B68" t="s">
        <v>12</v>
      </c>
      <c r="C68">
        <v>1</v>
      </c>
      <c r="D68" t="str">
        <f t="shared" si="1"/>
        <v>3-G-1</v>
      </c>
      <c r="H68">
        <v>1</v>
      </c>
      <c r="O68">
        <v>1</v>
      </c>
    </row>
    <row r="69" spans="1:15">
      <c r="A69">
        <v>3</v>
      </c>
      <c r="B69" t="s">
        <v>12</v>
      </c>
      <c r="C69">
        <v>2</v>
      </c>
      <c r="D69" t="str">
        <f t="shared" si="1"/>
        <v>3-G-2</v>
      </c>
      <c r="H69">
        <v>1</v>
      </c>
      <c r="O69">
        <v>1</v>
      </c>
    </row>
    <row r="70" spans="1:15">
      <c r="A70">
        <v>3</v>
      </c>
      <c r="B70" t="s">
        <v>12</v>
      </c>
      <c r="C70">
        <v>3</v>
      </c>
      <c r="D70" t="str">
        <f t="shared" si="1"/>
        <v>3-G-3</v>
      </c>
      <c r="H70">
        <v>1</v>
      </c>
      <c r="O70">
        <v>1</v>
      </c>
    </row>
    <row r="71" spans="1:15">
      <c r="A71">
        <v>3</v>
      </c>
      <c r="B71" t="s">
        <v>14</v>
      </c>
      <c r="C71">
        <v>1</v>
      </c>
      <c r="D71" t="str">
        <f t="shared" si="1"/>
        <v>3-I-1</v>
      </c>
      <c r="H71">
        <v>1</v>
      </c>
      <c r="O71">
        <v>1</v>
      </c>
    </row>
    <row r="72" spans="1:15">
      <c r="A72">
        <v>3</v>
      </c>
      <c r="B72" t="s">
        <v>14</v>
      </c>
      <c r="C72">
        <v>2</v>
      </c>
      <c r="D72" t="str">
        <f t="shared" si="1"/>
        <v>3-I-2</v>
      </c>
      <c r="H72">
        <v>1</v>
      </c>
      <c r="O72">
        <v>1</v>
      </c>
    </row>
    <row r="73" spans="1:15">
      <c r="A73">
        <v>3</v>
      </c>
      <c r="B73" t="s">
        <v>14</v>
      </c>
      <c r="C73">
        <v>3</v>
      </c>
      <c r="D73" t="str">
        <f t="shared" si="1"/>
        <v>3-I-3</v>
      </c>
      <c r="H73">
        <v>1</v>
      </c>
      <c r="O73">
        <v>1</v>
      </c>
    </row>
    <row r="74" spans="1:15">
      <c r="A74">
        <v>4</v>
      </c>
      <c r="B74" t="s">
        <v>6</v>
      </c>
      <c r="C74">
        <v>1</v>
      </c>
      <c r="D74" t="str">
        <f t="shared" si="1"/>
        <v>4-A-1</v>
      </c>
      <c r="F74">
        <v>1</v>
      </c>
    </row>
    <row r="75" spans="1:15">
      <c r="A75">
        <v>4</v>
      </c>
      <c r="B75" t="s">
        <v>6</v>
      </c>
      <c r="C75">
        <v>2</v>
      </c>
      <c r="D75" t="str">
        <f t="shared" si="1"/>
        <v>4-A-2</v>
      </c>
      <c r="F75">
        <v>1</v>
      </c>
    </row>
    <row r="76" spans="1:15">
      <c r="A76">
        <v>4</v>
      </c>
      <c r="B76" t="s">
        <v>6</v>
      </c>
      <c r="C76">
        <v>3</v>
      </c>
      <c r="D76" t="str">
        <f t="shared" si="1"/>
        <v>4-A-3</v>
      </c>
      <c r="F76">
        <v>1</v>
      </c>
    </row>
    <row r="77" spans="1:15">
      <c r="A77">
        <v>4</v>
      </c>
      <c r="B77" t="s">
        <v>8</v>
      </c>
      <c r="C77">
        <v>1</v>
      </c>
      <c r="D77" t="str">
        <f t="shared" si="1"/>
        <v>4-C-1</v>
      </c>
      <c r="F77">
        <v>1</v>
      </c>
    </row>
    <row r="78" spans="1:15">
      <c r="A78">
        <v>4</v>
      </c>
      <c r="B78" t="s">
        <v>8</v>
      </c>
      <c r="C78">
        <v>2</v>
      </c>
      <c r="D78" t="str">
        <f t="shared" si="1"/>
        <v>4-C-2</v>
      </c>
      <c r="F78">
        <v>1</v>
      </c>
    </row>
    <row r="79" spans="1:15">
      <c r="A79">
        <v>4</v>
      </c>
      <c r="B79" t="s">
        <v>8</v>
      </c>
      <c r="C79">
        <v>3</v>
      </c>
      <c r="D79" t="str">
        <f t="shared" si="1"/>
        <v>4-C-3</v>
      </c>
      <c r="E79">
        <v>1</v>
      </c>
    </row>
    <row r="80" spans="1:15">
      <c r="A80">
        <v>4</v>
      </c>
      <c r="B80" t="s">
        <v>9</v>
      </c>
      <c r="C80">
        <v>1</v>
      </c>
      <c r="D80" t="str">
        <f t="shared" si="1"/>
        <v>4-D-1</v>
      </c>
      <c r="F80">
        <v>1</v>
      </c>
    </row>
    <row r="81" spans="1:17">
      <c r="A81">
        <v>4</v>
      </c>
      <c r="B81" t="s">
        <v>9</v>
      </c>
      <c r="C81">
        <v>2</v>
      </c>
      <c r="D81" t="str">
        <f t="shared" si="1"/>
        <v>4-D-2</v>
      </c>
      <c r="F81">
        <v>1</v>
      </c>
    </row>
    <row r="82" spans="1:17">
      <c r="A82">
        <v>4</v>
      </c>
      <c r="B82" t="s">
        <v>9</v>
      </c>
      <c r="C82">
        <v>3</v>
      </c>
      <c r="D82" t="str">
        <f t="shared" si="1"/>
        <v>4-D-3</v>
      </c>
      <c r="F82">
        <v>1</v>
      </c>
    </row>
    <row r="83" spans="1:17">
      <c r="A83">
        <v>4</v>
      </c>
      <c r="B83" t="s">
        <v>11</v>
      </c>
      <c r="C83">
        <v>1</v>
      </c>
      <c r="D83" t="str">
        <f t="shared" si="1"/>
        <v>4-F-1</v>
      </c>
      <c r="F83">
        <v>1</v>
      </c>
      <c r="Q83">
        <v>1</v>
      </c>
    </row>
    <row r="84" spans="1:17">
      <c r="A84">
        <v>4</v>
      </c>
      <c r="B84" t="s">
        <v>11</v>
      </c>
      <c r="C84">
        <v>2</v>
      </c>
      <c r="D84" t="str">
        <f t="shared" si="1"/>
        <v>4-F-2</v>
      </c>
      <c r="F84">
        <v>1</v>
      </c>
    </row>
    <row r="85" spans="1:17">
      <c r="A85">
        <v>4</v>
      </c>
      <c r="B85" t="s">
        <v>11</v>
      </c>
      <c r="C85">
        <v>3</v>
      </c>
      <c r="D85" t="str">
        <f t="shared" si="1"/>
        <v>4-F-3</v>
      </c>
      <c r="F85">
        <v>1</v>
      </c>
    </row>
    <row r="86" spans="1:17">
      <c r="A86">
        <v>4</v>
      </c>
      <c r="B86" t="s">
        <v>12</v>
      </c>
      <c r="C86">
        <v>1</v>
      </c>
      <c r="D86" t="str">
        <f t="shared" si="1"/>
        <v>4-G-1</v>
      </c>
      <c r="H86">
        <v>1</v>
      </c>
      <c r="M86">
        <v>1</v>
      </c>
    </row>
    <row r="87" spans="1:17">
      <c r="A87">
        <v>4</v>
      </c>
      <c r="B87" t="s">
        <v>12</v>
      </c>
      <c r="C87">
        <v>2</v>
      </c>
      <c r="D87" t="str">
        <f t="shared" si="1"/>
        <v>4-G-2</v>
      </c>
      <c r="F87">
        <v>1</v>
      </c>
    </row>
    <row r="88" spans="1:17">
      <c r="A88">
        <v>4</v>
      </c>
      <c r="B88" t="s">
        <v>12</v>
      </c>
      <c r="C88">
        <v>3</v>
      </c>
      <c r="D88" t="str">
        <f t="shared" si="1"/>
        <v>4-G-3</v>
      </c>
      <c r="F88">
        <v>1</v>
      </c>
    </row>
    <row r="89" spans="1:17">
      <c r="A89">
        <v>4</v>
      </c>
      <c r="B89" t="s">
        <v>14</v>
      </c>
      <c r="C89">
        <v>1</v>
      </c>
      <c r="D89" t="str">
        <f t="shared" si="1"/>
        <v>4-I-1</v>
      </c>
      <c r="F89">
        <v>1</v>
      </c>
    </row>
    <row r="90" spans="1:17">
      <c r="A90">
        <v>4</v>
      </c>
      <c r="B90" t="s">
        <v>14</v>
      </c>
      <c r="C90">
        <v>2</v>
      </c>
      <c r="D90" t="str">
        <f t="shared" si="1"/>
        <v>4-I-2</v>
      </c>
      <c r="H90">
        <v>1</v>
      </c>
      <c r="M90">
        <v>1</v>
      </c>
    </row>
    <row r="91" spans="1:17">
      <c r="A91">
        <v>4</v>
      </c>
      <c r="B91" t="s">
        <v>14</v>
      </c>
      <c r="C91">
        <v>3</v>
      </c>
      <c r="D91" t="str">
        <f t="shared" si="1"/>
        <v>4-I-3</v>
      </c>
      <c r="F91">
        <v>1</v>
      </c>
    </row>
    <row r="92" spans="1:17">
      <c r="A92">
        <v>5</v>
      </c>
      <c r="B92" t="s">
        <v>6</v>
      </c>
      <c r="C92">
        <v>1</v>
      </c>
      <c r="D92" t="str">
        <f t="shared" si="1"/>
        <v>5-A-1</v>
      </c>
      <c r="F92">
        <v>1</v>
      </c>
    </row>
    <row r="93" spans="1:17">
      <c r="A93">
        <v>5</v>
      </c>
      <c r="B93" t="s">
        <v>6</v>
      </c>
      <c r="C93">
        <v>2</v>
      </c>
      <c r="D93" t="str">
        <f t="shared" si="1"/>
        <v>5-A-2</v>
      </c>
      <c r="H93">
        <v>1</v>
      </c>
      <c r="L93">
        <v>1</v>
      </c>
    </row>
    <row r="94" spans="1:17">
      <c r="A94">
        <v>5</v>
      </c>
      <c r="B94" t="s">
        <v>6</v>
      </c>
      <c r="C94">
        <v>3</v>
      </c>
      <c r="D94" t="str">
        <f t="shared" si="1"/>
        <v>5-A-3</v>
      </c>
      <c r="E94">
        <v>1</v>
      </c>
    </row>
    <row r="95" spans="1:17">
      <c r="A95">
        <v>5</v>
      </c>
      <c r="B95" t="s">
        <v>8</v>
      </c>
      <c r="C95">
        <v>1</v>
      </c>
      <c r="D95" t="str">
        <f t="shared" si="1"/>
        <v>5-C-1</v>
      </c>
      <c r="E95">
        <v>1</v>
      </c>
    </row>
    <row r="96" spans="1:17">
      <c r="A96">
        <v>5</v>
      </c>
      <c r="B96" t="s">
        <v>8</v>
      </c>
      <c r="C96">
        <v>2</v>
      </c>
      <c r="D96" t="str">
        <f t="shared" si="1"/>
        <v>5-C-2</v>
      </c>
      <c r="H96">
        <v>1</v>
      </c>
      <c r="L96">
        <v>1</v>
      </c>
    </row>
    <row r="97" spans="1:15">
      <c r="A97">
        <v>5</v>
      </c>
      <c r="B97" t="s">
        <v>8</v>
      </c>
      <c r="C97">
        <v>3</v>
      </c>
      <c r="D97" t="str">
        <f t="shared" si="1"/>
        <v>5-C-3</v>
      </c>
      <c r="H97">
        <v>1</v>
      </c>
      <c r="O97">
        <v>1</v>
      </c>
    </row>
    <row r="98" spans="1:15">
      <c r="A98">
        <v>5</v>
      </c>
      <c r="B98" t="s">
        <v>9</v>
      </c>
      <c r="C98">
        <v>1</v>
      </c>
      <c r="D98" t="str">
        <f t="shared" si="1"/>
        <v>5-D-1</v>
      </c>
      <c r="H98">
        <v>1</v>
      </c>
      <c r="L98">
        <v>1</v>
      </c>
    </row>
    <row r="99" spans="1:15">
      <c r="A99">
        <v>5</v>
      </c>
      <c r="B99" t="s">
        <v>9</v>
      </c>
      <c r="C99">
        <v>2</v>
      </c>
      <c r="D99" t="str">
        <f t="shared" si="1"/>
        <v>5-D-2</v>
      </c>
      <c r="E99">
        <v>1</v>
      </c>
    </row>
    <row r="100" spans="1:15">
      <c r="A100">
        <v>5</v>
      </c>
      <c r="B100" t="s">
        <v>9</v>
      </c>
      <c r="C100">
        <v>3</v>
      </c>
      <c r="D100" t="str">
        <f t="shared" si="1"/>
        <v>5-D-3</v>
      </c>
      <c r="H100">
        <v>1</v>
      </c>
      <c r="L100">
        <v>1</v>
      </c>
    </row>
    <row r="101" spans="1:15">
      <c r="A101">
        <v>5</v>
      </c>
      <c r="B101" t="s">
        <v>11</v>
      </c>
      <c r="C101">
        <v>1</v>
      </c>
      <c r="D101" t="str">
        <f t="shared" si="1"/>
        <v>5-F-1</v>
      </c>
      <c r="H101">
        <v>1</v>
      </c>
      <c r="L101">
        <v>1</v>
      </c>
    </row>
    <row r="102" spans="1:15">
      <c r="A102">
        <v>5</v>
      </c>
      <c r="B102" t="s">
        <v>11</v>
      </c>
      <c r="C102">
        <v>2</v>
      </c>
      <c r="D102" t="str">
        <f t="shared" si="1"/>
        <v>5-F-2</v>
      </c>
      <c r="E102">
        <v>1</v>
      </c>
    </row>
    <row r="103" spans="1:15">
      <c r="A103">
        <v>5</v>
      </c>
      <c r="B103" t="s">
        <v>11</v>
      </c>
      <c r="C103">
        <v>3</v>
      </c>
      <c r="D103" t="str">
        <f t="shared" si="1"/>
        <v>5-F-3</v>
      </c>
      <c r="E103">
        <v>1</v>
      </c>
    </row>
    <row r="104" spans="1:15">
      <c r="A104">
        <v>5</v>
      </c>
      <c r="B104" t="s">
        <v>12</v>
      </c>
      <c r="C104">
        <v>1</v>
      </c>
      <c r="D104" t="str">
        <f t="shared" si="1"/>
        <v>5-G-1</v>
      </c>
      <c r="H104">
        <v>1</v>
      </c>
      <c r="L104">
        <v>1</v>
      </c>
    </row>
    <row r="105" spans="1:15">
      <c r="A105">
        <v>5</v>
      </c>
      <c r="B105" t="s">
        <v>12</v>
      </c>
      <c r="C105">
        <v>2</v>
      </c>
      <c r="D105" t="str">
        <f t="shared" si="1"/>
        <v>5-G-2</v>
      </c>
      <c r="H105">
        <v>1</v>
      </c>
      <c r="L105">
        <v>1</v>
      </c>
    </row>
    <row r="106" spans="1:15">
      <c r="A106">
        <v>5</v>
      </c>
      <c r="B106" t="s">
        <v>12</v>
      </c>
      <c r="C106">
        <v>3</v>
      </c>
      <c r="D106" t="str">
        <f t="shared" si="1"/>
        <v>5-G-3</v>
      </c>
      <c r="H106">
        <v>1</v>
      </c>
      <c r="L106">
        <v>1</v>
      </c>
    </row>
    <row r="107" spans="1:15">
      <c r="A107">
        <v>5</v>
      </c>
      <c r="B107" t="s">
        <v>14</v>
      </c>
      <c r="C107">
        <v>1</v>
      </c>
      <c r="D107" t="str">
        <f t="shared" si="1"/>
        <v>5-I-1</v>
      </c>
      <c r="E107">
        <v>1</v>
      </c>
    </row>
    <row r="108" spans="1:15">
      <c r="A108">
        <v>5</v>
      </c>
      <c r="B108" t="s">
        <v>14</v>
      </c>
      <c r="C108">
        <v>2</v>
      </c>
      <c r="D108" t="str">
        <f t="shared" si="1"/>
        <v>5-I-2</v>
      </c>
      <c r="H108">
        <v>1</v>
      </c>
      <c r="L108">
        <v>1</v>
      </c>
    </row>
    <row r="109" spans="1:15">
      <c r="A109">
        <v>5</v>
      </c>
      <c r="B109" t="s">
        <v>14</v>
      </c>
      <c r="C109">
        <v>3</v>
      </c>
      <c r="D109" t="str">
        <f t="shared" si="1"/>
        <v>5-I-3</v>
      </c>
      <c r="H109">
        <v>1</v>
      </c>
      <c r="L109">
        <v>1</v>
      </c>
    </row>
    <row r="110" spans="1:15">
      <c r="A110">
        <v>6</v>
      </c>
      <c r="B110" t="s">
        <v>6</v>
      </c>
      <c r="C110">
        <v>1</v>
      </c>
      <c r="D110" t="str">
        <f t="shared" si="1"/>
        <v>6-A-1</v>
      </c>
      <c r="H110">
        <v>1</v>
      </c>
      <c r="L110">
        <v>1</v>
      </c>
    </row>
    <row r="111" spans="1:15">
      <c r="A111">
        <v>6</v>
      </c>
      <c r="B111" t="s">
        <v>6</v>
      </c>
      <c r="C111">
        <v>2</v>
      </c>
      <c r="D111" t="str">
        <f t="shared" si="1"/>
        <v>6-A-2</v>
      </c>
      <c r="F111">
        <v>1</v>
      </c>
    </row>
    <row r="112" spans="1:15">
      <c r="A112">
        <v>6</v>
      </c>
      <c r="B112" t="s">
        <v>6</v>
      </c>
      <c r="C112">
        <v>3</v>
      </c>
      <c r="D112" t="str">
        <f t="shared" si="1"/>
        <v>6-A-3</v>
      </c>
      <c r="F112">
        <v>1</v>
      </c>
    </row>
    <row r="113" spans="1:16">
      <c r="A113">
        <v>6</v>
      </c>
      <c r="B113" t="s">
        <v>8</v>
      </c>
      <c r="C113">
        <v>1</v>
      </c>
      <c r="D113" t="str">
        <f t="shared" si="1"/>
        <v>6-C-1</v>
      </c>
      <c r="F113">
        <v>1</v>
      </c>
    </row>
    <row r="114" spans="1:16">
      <c r="A114">
        <v>6</v>
      </c>
      <c r="B114" t="s">
        <v>8</v>
      </c>
      <c r="C114">
        <v>2</v>
      </c>
      <c r="D114" t="str">
        <f t="shared" si="1"/>
        <v>6-C-2</v>
      </c>
      <c r="H114">
        <v>1</v>
      </c>
      <c r="L114">
        <v>1</v>
      </c>
    </row>
    <row r="115" spans="1:16">
      <c r="A115">
        <v>6</v>
      </c>
      <c r="B115" t="s">
        <v>8</v>
      </c>
      <c r="C115">
        <v>3</v>
      </c>
      <c r="D115" t="str">
        <f t="shared" si="1"/>
        <v>6-C-3</v>
      </c>
      <c r="H115">
        <v>1</v>
      </c>
      <c r="P115">
        <v>1</v>
      </c>
    </row>
    <row r="116" spans="1:16">
      <c r="A116">
        <v>6</v>
      </c>
      <c r="B116" t="s">
        <v>9</v>
      </c>
      <c r="C116">
        <v>1</v>
      </c>
      <c r="D116" t="str">
        <f t="shared" si="1"/>
        <v>6-D-1</v>
      </c>
      <c r="H116">
        <v>1</v>
      </c>
      <c r="L116">
        <v>1</v>
      </c>
    </row>
    <row r="117" spans="1:16">
      <c r="A117">
        <v>6</v>
      </c>
      <c r="B117" t="s">
        <v>9</v>
      </c>
      <c r="C117">
        <v>2</v>
      </c>
      <c r="D117" t="str">
        <f t="shared" si="1"/>
        <v>6-D-2</v>
      </c>
      <c r="H117">
        <v>1</v>
      </c>
      <c r="L117">
        <v>1</v>
      </c>
    </row>
    <row r="118" spans="1:16">
      <c r="A118">
        <v>6</v>
      </c>
      <c r="B118" t="s">
        <v>9</v>
      </c>
      <c r="C118">
        <v>3</v>
      </c>
      <c r="D118" t="str">
        <f t="shared" si="1"/>
        <v>6-D-3</v>
      </c>
      <c r="H118">
        <v>1</v>
      </c>
      <c r="L118">
        <v>1</v>
      </c>
    </row>
    <row r="119" spans="1:16">
      <c r="A119">
        <v>6</v>
      </c>
      <c r="B119" t="s">
        <v>11</v>
      </c>
      <c r="C119">
        <v>1</v>
      </c>
      <c r="D119" t="str">
        <f t="shared" si="1"/>
        <v>6-F-1</v>
      </c>
      <c r="F119">
        <v>1</v>
      </c>
    </row>
    <row r="120" spans="1:16">
      <c r="A120">
        <v>6</v>
      </c>
      <c r="B120" t="s">
        <v>11</v>
      </c>
      <c r="C120">
        <v>2</v>
      </c>
      <c r="D120" t="str">
        <f t="shared" si="1"/>
        <v>6-F-2</v>
      </c>
      <c r="H120">
        <v>1</v>
      </c>
      <c r="L120">
        <v>1</v>
      </c>
    </row>
    <row r="121" spans="1:16">
      <c r="A121">
        <v>6</v>
      </c>
      <c r="B121" t="s">
        <v>11</v>
      </c>
      <c r="C121">
        <v>3</v>
      </c>
      <c r="D121" t="str">
        <f t="shared" si="1"/>
        <v>6-F-3</v>
      </c>
      <c r="F121">
        <v>1</v>
      </c>
    </row>
    <row r="122" spans="1:16">
      <c r="A122">
        <v>6</v>
      </c>
      <c r="B122" t="s">
        <v>12</v>
      </c>
      <c r="C122">
        <v>1</v>
      </c>
      <c r="D122" t="str">
        <f t="shared" si="1"/>
        <v>6-G-1</v>
      </c>
      <c r="H122">
        <v>1</v>
      </c>
      <c r="L122">
        <v>1</v>
      </c>
    </row>
    <row r="123" spans="1:16">
      <c r="A123">
        <v>6</v>
      </c>
      <c r="B123" t="s">
        <v>12</v>
      </c>
      <c r="C123">
        <v>2</v>
      </c>
      <c r="D123" t="str">
        <f t="shared" si="1"/>
        <v>6-G-2</v>
      </c>
      <c r="H123">
        <v>1</v>
      </c>
      <c r="L123">
        <v>1</v>
      </c>
    </row>
    <row r="124" spans="1:16">
      <c r="A124">
        <v>6</v>
      </c>
      <c r="B124" t="s">
        <v>12</v>
      </c>
      <c r="C124">
        <v>3</v>
      </c>
      <c r="D124" t="str">
        <f t="shared" si="1"/>
        <v>6-G-3</v>
      </c>
      <c r="F124">
        <v>1</v>
      </c>
    </row>
    <row r="125" spans="1:16">
      <c r="A125">
        <v>6</v>
      </c>
      <c r="B125" t="s">
        <v>14</v>
      </c>
      <c r="C125">
        <v>1</v>
      </c>
      <c r="D125" t="str">
        <f t="shared" si="1"/>
        <v>6-I-1</v>
      </c>
      <c r="H125">
        <v>1</v>
      </c>
      <c r="L125">
        <v>1</v>
      </c>
    </row>
    <row r="126" spans="1:16">
      <c r="A126">
        <v>6</v>
      </c>
      <c r="B126" t="s">
        <v>14</v>
      </c>
      <c r="C126">
        <v>2</v>
      </c>
      <c r="D126" t="str">
        <f t="shared" si="1"/>
        <v>6-I-2</v>
      </c>
      <c r="H126">
        <v>1</v>
      </c>
      <c r="L126">
        <v>1</v>
      </c>
    </row>
    <row r="127" spans="1:16">
      <c r="A127">
        <v>6</v>
      </c>
      <c r="B127" t="s">
        <v>14</v>
      </c>
      <c r="C127">
        <v>3</v>
      </c>
      <c r="D127" t="str">
        <f t="shared" si="1"/>
        <v>6-I-3</v>
      </c>
      <c r="F127">
        <v>1</v>
      </c>
    </row>
    <row r="128" spans="1:16">
      <c r="A128">
        <v>7</v>
      </c>
      <c r="B128" t="s">
        <v>6</v>
      </c>
      <c r="C128">
        <v>1</v>
      </c>
      <c r="D128" t="str">
        <f t="shared" si="1"/>
        <v>7-A-1</v>
      </c>
      <c r="H128">
        <v>1</v>
      </c>
      <c r="L128">
        <v>1</v>
      </c>
    </row>
    <row r="129" spans="1:16">
      <c r="A129">
        <v>7</v>
      </c>
      <c r="B129" t="s">
        <v>6</v>
      </c>
      <c r="C129">
        <v>2</v>
      </c>
      <c r="D129" t="str">
        <f t="shared" si="1"/>
        <v>7-A-2</v>
      </c>
      <c r="H129">
        <v>1</v>
      </c>
      <c r="L129">
        <v>1</v>
      </c>
    </row>
    <row r="130" spans="1:16">
      <c r="A130">
        <v>7</v>
      </c>
      <c r="B130" t="s">
        <v>6</v>
      </c>
      <c r="C130">
        <v>3</v>
      </c>
      <c r="D130" t="str">
        <f t="shared" ref="D130:D163" si="2">A130&amp;"-"&amp;B130&amp;"-"&amp;C130</f>
        <v>7-A-3</v>
      </c>
      <c r="H130">
        <v>1</v>
      </c>
    </row>
    <row r="131" spans="1:16">
      <c r="A131">
        <v>7</v>
      </c>
      <c r="B131" t="s">
        <v>8</v>
      </c>
      <c r="C131">
        <v>1</v>
      </c>
      <c r="D131" t="str">
        <f t="shared" si="2"/>
        <v>7-C-1</v>
      </c>
      <c r="F131">
        <v>1</v>
      </c>
      <c r="P131">
        <v>1</v>
      </c>
    </row>
    <row r="132" spans="1:16">
      <c r="A132">
        <v>7</v>
      </c>
      <c r="B132" t="s">
        <v>8</v>
      </c>
      <c r="C132">
        <v>2</v>
      </c>
      <c r="D132" t="str">
        <f t="shared" si="2"/>
        <v>7-C-2</v>
      </c>
      <c r="H132">
        <v>1</v>
      </c>
      <c r="P132">
        <v>1</v>
      </c>
    </row>
    <row r="133" spans="1:16">
      <c r="A133">
        <v>7</v>
      </c>
      <c r="B133" t="s">
        <v>8</v>
      </c>
      <c r="C133">
        <v>3</v>
      </c>
      <c r="D133" t="str">
        <f t="shared" si="2"/>
        <v>7-C-3</v>
      </c>
      <c r="F133">
        <v>1</v>
      </c>
    </row>
    <row r="134" spans="1:16">
      <c r="A134">
        <v>7</v>
      </c>
      <c r="B134" t="s">
        <v>9</v>
      </c>
      <c r="C134">
        <v>1</v>
      </c>
      <c r="D134" t="str">
        <f t="shared" si="2"/>
        <v>7-D-1</v>
      </c>
      <c r="H134">
        <v>1</v>
      </c>
      <c r="L134">
        <v>1</v>
      </c>
    </row>
    <row r="135" spans="1:16">
      <c r="A135">
        <v>7</v>
      </c>
      <c r="B135" t="s">
        <v>9</v>
      </c>
      <c r="C135">
        <v>2</v>
      </c>
      <c r="D135" t="str">
        <f t="shared" si="2"/>
        <v>7-D-2</v>
      </c>
      <c r="H135">
        <v>1</v>
      </c>
      <c r="L135">
        <v>1</v>
      </c>
    </row>
    <row r="136" spans="1:16">
      <c r="A136">
        <v>7</v>
      </c>
      <c r="B136" t="s">
        <v>9</v>
      </c>
      <c r="C136">
        <v>3</v>
      </c>
      <c r="D136" t="str">
        <f t="shared" si="2"/>
        <v>7-D-3</v>
      </c>
      <c r="H136">
        <v>1</v>
      </c>
      <c r="L136">
        <v>1</v>
      </c>
    </row>
    <row r="137" spans="1:16">
      <c r="A137">
        <v>7</v>
      </c>
      <c r="B137" t="s">
        <v>11</v>
      </c>
      <c r="C137">
        <v>1</v>
      </c>
      <c r="D137" t="str">
        <f t="shared" si="2"/>
        <v>7-F-1</v>
      </c>
      <c r="H137">
        <v>1</v>
      </c>
      <c r="L137">
        <v>1</v>
      </c>
    </row>
    <row r="138" spans="1:16">
      <c r="A138">
        <v>7</v>
      </c>
      <c r="B138" t="s">
        <v>11</v>
      </c>
      <c r="C138">
        <v>2</v>
      </c>
      <c r="D138" t="str">
        <f t="shared" si="2"/>
        <v>7-F-2</v>
      </c>
      <c r="H138">
        <v>1</v>
      </c>
      <c r="L138">
        <v>1</v>
      </c>
    </row>
    <row r="139" spans="1:16">
      <c r="A139">
        <v>7</v>
      </c>
      <c r="B139" t="s">
        <v>11</v>
      </c>
      <c r="C139">
        <v>3</v>
      </c>
      <c r="D139" t="str">
        <f t="shared" si="2"/>
        <v>7-F-3</v>
      </c>
      <c r="H139">
        <v>1</v>
      </c>
      <c r="L139">
        <v>1</v>
      </c>
    </row>
    <row r="140" spans="1:16">
      <c r="A140">
        <v>7</v>
      </c>
      <c r="B140" t="s">
        <v>12</v>
      </c>
      <c r="C140">
        <v>1</v>
      </c>
      <c r="D140" t="str">
        <f t="shared" si="2"/>
        <v>7-G-1</v>
      </c>
      <c r="F140">
        <v>1</v>
      </c>
    </row>
    <row r="141" spans="1:16">
      <c r="A141">
        <v>7</v>
      </c>
      <c r="B141" t="s">
        <v>12</v>
      </c>
      <c r="C141">
        <v>2</v>
      </c>
      <c r="D141" t="str">
        <f t="shared" si="2"/>
        <v>7-G-2</v>
      </c>
      <c r="H141">
        <v>1</v>
      </c>
      <c r="L141">
        <v>1</v>
      </c>
    </row>
    <row r="142" spans="1:16">
      <c r="A142">
        <v>7</v>
      </c>
      <c r="B142" t="s">
        <v>12</v>
      </c>
      <c r="C142">
        <v>3</v>
      </c>
      <c r="D142" t="str">
        <f t="shared" si="2"/>
        <v>7-G-3</v>
      </c>
      <c r="H142">
        <v>1</v>
      </c>
      <c r="P142">
        <v>1</v>
      </c>
    </row>
    <row r="143" spans="1:16">
      <c r="A143">
        <v>7</v>
      </c>
      <c r="B143" t="s">
        <v>14</v>
      </c>
      <c r="C143">
        <v>1</v>
      </c>
      <c r="D143" t="str">
        <f t="shared" si="2"/>
        <v>7-I-1</v>
      </c>
      <c r="F143">
        <v>1</v>
      </c>
    </row>
    <row r="144" spans="1:16">
      <c r="A144">
        <v>7</v>
      </c>
      <c r="B144" t="s">
        <v>14</v>
      </c>
      <c r="C144">
        <v>2</v>
      </c>
      <c r="D144" t="str">
        <f t="shared" si="2"/>
        <v>7-I-2</v>
      </c>
      <c r="H144">
        <v>1</v>
      </c>
      <c r="L144">
        <v>1</v>
      </c>
    </row>
    <row r="145" spans="1:17">
      <c r="A145">
        <v>7</v>
      </c>
      <c r="B145" t="s">
        <v>14</v>
      </c>
      <c r="C145">
        <v>3</v>
      </c>
      <c r="D145" t="str">
        <f t="shared" si="2"/>
        <v>7-I-3</v>
      </c>
      <c r="H145">
        <v>1</v>
      </c>
      <c r="O145">
        <v>1</v>
      </c>
    </row>
    <row r="146" spans="1:17">
      <c r="A146">
        <v>8</v>
      </c>
      <c r="B146" t="s">
        <v>6</v>
      </c>
      <c r="C146">
        <v>1</v>
      </c>
      <c r="D146" t="str">
        <f t="shared" si="2"/>
        <v>8-A-1</v>
      </c>
      <c r="H146">
        <v>1</v>
      </c>
      <c r="L146">
        <v>1</v>
      </c>
    </row>
    <row r="147" spans="1:17">
      <c r="A147">
        <v>8</v>
      </c>
      <c r="B147" t="s">
        <v>6</v>
      </c>
      <c r="C147">
        <v>2</v>
      </c>
      <c r="D147" t="str">
        <f t="shared" si="2"/>
        <v>8-A-2</v>
      </c>
      <c r="H147">
        <v>1</v>
      </c>
      <c r="L147">
        <v>1</v>
      </c>
    </row>
    <row r="148" spans="1:17">
      <c r="A148">
        <v>8</v>
      </c>
      <c r="B148" t="s">
        <v>6</v>
      </c>
      <c r="C148">
        <v>3</v>
      </c>
      <c r="D148" t="str">
        <f t="shared" si="2"/>
        <v>8-A-3</v>
      </c>
      <c r="F148">
        <v>1</v>
      </c>
    </row>
    <row r="149" spans="1:17">
      <c r="A149">
        <v>8</v>
      </c>
      <c r="B149" t="s">
        <v>8</v>
      </c>
      <c r="C149">
        <v>1</v>
      </c>
      <c r="D149" t="str">
        <f t="shared" si="2"/>
        <v>8-C-1</v>
      </c>
      <c r="H149">
        <v>1</v>
      </c>
      <c r="L149">
        <v>1</v>
      </c>
    </row>
    <row r="150" spans="1:17">
      <c r="A150">
        <v>8</v>
      </c>
      <c r="B150" t="s">
        <v>8</v>
      </c>
      <c r="C150">
        <v>2</v>
      </c>
      <c r="D150" t="str">
        <f t="shared" si="2"/>
        <v>8-C-2</v>
      </c>
      <c r="E150">
        <v>1</v>
      </c>
    </row>
    <row r="151" spans="1:17">
      <c r="A151">
        <v>8</v>
      </c>
      <c r="B151" t="s">
        <v>8</v>
      </c>
      <c r="C151">
        <v>3</v>
      </c>
      <c r="D151" t="str">
        <f t="shared" si="2"/>
        <v>8-C-3</v>
      </c>
      <c r="H151">
        <v>1</v>
      </c>
      <c r="L151">
        <v>1</v>
      </c>
    </row>
    <row r="152" spans="1:17">
      <c r="A152">
        <v>8</v>
      </c>
      <c r="B152" t="s">
        <v>9</v>
      </c>
      <c r="C152">
        <v>1</v>
      </c>
      <c r="D152" t="str">
        <f t="shared" si="2"/>
        <v>8-D-1</v>
      </c>
      <c r="H152">
        <v>1</v>
      </c>
      <c r="P152">
        <v>1</v>
      </c>
    </row>
    <row r="153" spans="1:17">
      <c r="A153">
        <v>8</v>
      </c>
      <c r="B153" t="s">
        <v>9</v>
      </c>
      <c r="C153">
        <v>2</v>
      </c>
      <c r="D153" t="str">
        <f t="shared" si="2"/>
        <v>8-D-2</v>
      </c>
      <c r="F153">
        <v>1</v>
      </c>
    </row>
    <row r="154" spans="1:17">
      <c r="A154">
        <v>8</v>
      </c>
      <c r="B154" t="s">
        <v>9</v>
      </c>
      <c r="C154">
        <v>3</v>
      </c>
      <c r="D154" t="str">
        <f t="shared" si="2"/>
        <v>8-D-3</v>
      </c>
      <c r="F154">
        <v>1</v>
      </c>
    </row>
    <row r="155" spans="1:17">
      <c r="A155">
        <v>8</v>
      </c>
      <c r="B155" t="s">
        <v>11</v>
      </c>
      <c r="C155">
        <v>1</v>
      </c>
      <c r="D155" t="str">
        <f t="shared" si="2"/>
        <v>8-F-1</v>
      </c>
      <c r="F155">
        <v>1</v>
      </c>
    </row>
    <row r="156" spans="1:17">
      <c r="A156">
        <v>8</v>
      </c>
      <c r="B156" t="s">
        <v>11</v>
      </c>
      <c r="C156">
        <v>2</v>
      </c>
      <c r="D156" t="str">
        <f t="shared" si="2"/>
        <v>8-F-2</v>
      </c>
      <c r="F156">
        <v>1</v>
      </c>
    </row>
    <row r="157" spans="1:17">
      <c r="A157">
        <v>8</v>
      </c>
      <c r="B157" t="s">
        <v>11</v>
      </c>
      <c r="C157">
        <v>3</v>
      </c>
      <c r="D157" t="str">
        <f t="shared" si="2"/>
        <v>8-F-3</v>
      </c>
      <c r="F157">
        <v>1</v>
      </c>
    </row>
    <row r="158" spans="1:17">
      <c r="A158">
        <v>8</v>
      </c>
      <c r="B158" t="s">
        <v>12</v>
      </c>
      <c r="C158">
        <v>1</v>
      </c>
      <c r="D158" t="str">
        <f t="shared" si="2"/>
        <v>8-G-1</v>
      </c>
      <c r="F158">
        <v>1</v>
      </c>
      <c r="Q158">
        <v>1</v>
      </c>
    </row>
    <row r="159" spans="1:17">
      <c r="A159">
        <v>8</v>
      </c>
      <c r="B159" t="s">
        <v>12</v>
      </c>
      <c r="C159">
        <v>2</v>
      </c>
      <c r="D159" t="str">
        <f t="shared" si="2"/>
        <v>8-G-2</v>
      </c>
      <c r="F159">
        <v>1</v>
      </c>
      <c r="Q159">
        <v>1</v>
      </c>
    </row>
    <row r="160" spans="1:17">
      <c r="A160">
        <v>8</v>
      </c>
      <c r="B160" t="s">
        <v>12</v>
      </c>
      <c r="C160">
        <v>3</v>
      </c>
      <c r="D160" t="str">
        <f t="shared" si="2"/>
        <v>8-G-3</v>
      </c>
      <c r="F160">
        <v>1</v>
      </c>
      <c r="Q160">
        <v>1</v>
      </c>
    </row>
    <row r="161" spans="1:17">
      <c r="A161">
        <v>8</v>
      </c>
      <c r="B161" t="s">
        <v>14</v>
      </c>
      <c r="C161">
        <v>1</v>
      </c>
      <c r="D161" t="str">
        <f t="shared" si="2"/>
        <v>8-I-1</v>
      </c>
      <c r="E161">
        <v>1</v>
      </c>
    </row>
    <row r="162" spans="1:17">
      <c r="A162">
        <v>8</v>
      </c>
      <c r="B162" t="s">
        <v>14</v>
      </c>
      <c r="C162">
        <v>2</v>
      </c>
      <c r="D162" t="str">
        <f t="shared" si="2"/>
        <v>8-I-2</v>
      </c>
      <c r="E162">
        <v>1</v>
      </c>
    </row>
    <row r="163" spans="1:17">
      <c r="A163">
        <v>8</v>
      </c>
      <c r="B163" t="s">
        <v>14</v>
      </c>
      <c r="C163">
        <v>3</v>
      </c>
      <c r="D163" t="str">
        <f t="shared" si="2"/>
        <v>8-I-3</v>
      </c>
      <c r="F163">
        <v>1</v>
      </c>
      <c r="Q163">
        <v>1</v>
      </c>
    </row>
    <row r="164" spans="1:17">
      <c r="A164" t="s">
        <v>39</v>
      </c>
      <c r="B164" t="s">
        <v>39</v>
      </c>
      <c r="C164" t="s">
        <v>39</v>
      </c>
      <c r="D164" t="s">
        <v>39</v>
      </c>
      <c r="E164">
        <f>SUM(E2:E163)</f>
        <v>25</v>
      </c>
      <c r="F164">
        <f t="shared" ref="F164:Q164" si="3">SUM(F2:F163)</f>
        <v>40</v>
      </c>
      <c r="G164">
        <f t="shared" si="3"/>
        <v>0</v>
      </c>
      <c r="H164">
        <f t="shared" si="3"/>
        <v>97</v>
      </c>
      <c r="I164">
        <f t="shared" si="3"/>
        <v>0</v>
      </c>
      <c r="J164">
        <f t="shared" si="3"/>
        <v>1</v>
      </c>
      <c r="K164">
        <f t="shared" si="3"/>
        <v>0</v>
      </c>
      <c r="L164">
        <f t="shared" si="3"/>
        <v>70</v>
      </c>
      <c r="M164">
        <f t="shared" si="3"/>
        <v>2</v>
      </c>
      <c r="N164">
        <f t="shared" si="3"/>
        <v>0</v>
      </c>
      <c r="O164">
        <f t="shared" si="3"/>
        <v>14</v>
      </c>
      <c r="P164">
        <f t="shared" si="3"/>
        <v>10</v>
      </c>
      <c r="Q164">
        <f t="shared" si="3"/>
        <v>6</v>
      </c>
    </row>
  </sheetData>
  <autoFilter ref="A1:Q164" xr:uid="{BB563E77-EE44-42B3-ACD0-800B48D3E7DF}"/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D6A5F-9720-4325-A448-01CB91CFC6AF}">
  <sheetPr>
    <tabColor theme="7" tint="-0.249977111117893"/>
  </sheetPr>
  <dimension ref="A1:P10"/>
  <sheetViews>
    <sheetView topLeftCell="D1" workbookViewId="0">
      <selection activeCell="O33" sqref="O33"/>
    </sheetView>
  </sheetViews>
  <sheetFormatPr defaultRowHeight="14.25"/>
  <cols>
    <col min="3" max="3" width="12.75" customWidth="1"/>
    <col min="4" max="4" width="17.5" customWidth="1"/>
    <col min="5" max="5" width="6.25" bestFit="1" customWidth="1"/>
    <col min="6" max="6" width="20.25" bestFit="1" customWidth="1"/>
    <col min="7" max="7" width="19.125" bestFit="1" customWidth="1"/>
    <col min="8" max="8" width="15.625" customWidth="1"/>
    <col min="9" max="10" width="18.25" customWidth="1"/>
    <col min="14" max="14" width="19.125" bestFit="1" customWidth="1"/>
    <col min="16" max="16" width="16" style="8" customWidth="1"/>
  </cols>
  <sheetData>
    <row r="1" spans="1:16">
      <c r="A1" s="24" t="s">
        <v>4</v>
      </c>
      <c r="B1" s="24" t="s">
        <v>0</v>
      </c>
      <c r="C1" s="24" t="s">
        <v>16</v>
      </c>
      <c r="D1" s="24" t="s">
        <v>23</v>
      </c>
      <c r="E1" s="24" t="s">
        <v>17</v>
      </c>
      <c r="F1" s="24" t="s">
        <v>19</v>
      </c>
      <c r="G1" s="24" t="s">
        <v>1</v>
      </c>
      <c r="H1" s="24" t="s">
        <v>22</v>
      </c>
      <c r="I1" s="24" t="s">
        <v>68</v>
      </c>
      <c r="J1" s="24" t="s">
        <v>2</v>
      </c>
      <c r="K1" s="24" t="s">
        <v>20</v>
      </c>
      <c r="L1" s="24" t="s">
        <v>25</v>
      </c>
      <c r="M1" s="24" t="s">
        <v>21</v>
      </c>
      <c r="N1" s="24" t="s">
        <v>24</v>
      </c>
      <c r="O1" s="24" t="s">
        <v>35</v>
      </c>
      <c r="P1" s="25" t="s">
        <v>36</v>
      </c>
    </row>
    <row r="2" spans="1:16">
      <c r="A2">
        <v>1</v>
      </c>
      <c r="B2">
        <f>SUMIF(result_20260605!$A:$A,sum_orient_20260605!$A2,INDEX(result_20260605!$A:$Z,0,MATCH(sum_orient_20260605!B$1,result_20260605!$1:$1,0)))</f>
        <v>15</v>
      </c>
      <c r="C2">
        <f>SUMIF(result_20260605!$A:$A,sum_orient_20260605!$A2,INDEX(result_20260605!$A:$Z,0,MATCH(sum_orient_20260605!C$1,result_20260605!$1:$1,0)))</f>
        <v>1</v>
      </c>
      <c r="D2">
        <f>SUMIF(result_20260605!$A:$A,sum_orient_20260605!$A2,INDEX(result_20260605!$A:$Z,0,MATCH(sum_orient_20260605!D$1,result_20260605!$1:$1,0)))</f>
        <v>0</v>
      </c>
      <c r="E2">
        <f>SUMIF(result_20260605!$A:$A,sum_orient_20260605!$A2,INDEX(result_20260605!$A:$Z,0,MATCH(sum_orient_20260605!E$1,result_20260605!$1:$1,0)))</f>
        <v>11</v>
      </c>
      <c r="F2">
        <f>SUMIF(result_20260605!$A:$A,sum_orient_20260605!$A2,INDEX(result_20260605!$A:$Z,0,MATCH(sum_orient_20260605!F$1,result_20260605!$1:$1,0)))</f>
        <v>0</v>
      </c>
      <c r="G2">
        <f>SUMIF(result_20260605!$A:$A,sum_orient_20260605!$A2,INDEX(result_20260605!$A:$Z,0,MATCH(sum_orient_20260605!G$1,result_20260605!$1:$1,0)))</f>
        <v>0</v>
      </c>
      <c r="H2">
        <f>SUMIF(result_20260605!$A:$A,sum_orient_20260605!$A2,INDEX(result_20260605!$A:$Z,0,MATCH(sum_orient_20260605!H$1,result_20260605!$1:$1,0)))</f>
        <v>0</v>
      </c>
      <c r="I2">
        <f>SUMIF(result_20260605!$A:$A,sum_orient_20260605!$A2,INDEX(result_20260605!$A:$Z,0,MATCH(sum_orient_20260605!I$1,result_20260605!$1:$1,0)))</f>
        <v>9</v>
      </c>
      <c r="J2">
        <f>SUMIF(result_20260605!$A:$A,sum_orient_20260605!$A2,INDEX(result_20260605!$A:$Z,0,MATCH(sum_orient_20260605!J$1,result_20260605!$1:$1,0)))</f>
        <v>0</v>
      </c>
      <c r="K2">
        <f>SUMIF(result_20260605!$A:$A,sum_orient_20260605!$A2,INDEX(result_20260605!$A:$Z,0,MATCH(sum_orient_20260605!K$1,result_20260605!$1:$1,0)))</f>
        <v>0</v>
      </c>
      <c r="L2">
        <f>SUMIF(result_20260605!$A:$A,sum_orient_20260605!$A2,INDEX(result_20260605!$A:$Z,0,MATCH(sum_orient_20260605!L$1,result_20260605!$1:$1,0)))</f>
        <v>0</v>
      </c>
      <c r="M2">
        <f>SUMIF(result_20260605!$A:$A,sum_orient_20260605!$A2,INDEX(result_20260605!$A:$Z,0,MATCH(sum_orient_20260605!M$1,result_20260605!$1:$1,0)))</f>
        <v>2</v>
      </c>
      <c r="N2">
        <f>SUMIF(result_20260605!$A:$A,sum_orient_20260605!$A2,INDEX(result_20260605!$A:$Z,0,MATCH(sum_orient_20260605!N$1,result_20260605!$1:$1,0)))</f>
        <v>1</v>
      </c>
      <c r="O2">
        <f>SUM(B2:E2)</f>
        <v>27</v>
      </c>
      <c r="P2" s="8">
        <f>SUM(B2+C2)/O2</f>
        <v>0.59259259259259256</v>
      </c>
    </row>
    <row r="3" spans="1:16">
      <c r="A3">
        <v>2</v>
      </c>
      <c r="B3">
        <f>SUMIF(result_20260605!$A:$A,sum_orient_20260605!$A3,INDEX(result_20260605!$A:$Z,0,MATCH(sum_orient_20260605!B$1,result_20260605!$1:$1,0)))</f>
        <v>0</v>
      </c>
      <c r="C3">
        <f>SUMIF(result_20260605!$A:$A,sum_orient_20260605!$A3,INDEX(result_20260605!$A:$Z,0,MATCH(sum_orient_20260605!C$1,result_20260605!$1:$1,0)))</f>
        <v>2</v>
      </c>
      <c r="D3">
        <f>SUMIF(result_20260605!$A:$A,sum_orient_20260605!$A3,INDEX(result_20260605!$A:$Z,0,MATCH(sum_orient_20260605!D$1,result_20260605!$1:$1,0)))</f>
        <v>0</v>
      </c>
      <c r="E3">
        <f>SUMIF(result_20260605!$A:$A,sum_orient_20260605!$A3,INDEX(result_20260605!$A:$Z,0,MATCH(sum_orient_20260605!E$1,result_20260605!$1:$1,0)))</f>
        <v>25</v>
      </c>
      <c r="F3">
        <f>SUMIF(result_20260526!$A:$A,sum_orient_20260605!$A3,INDEX(result_20260526!$A:$Z,0,MATCH(sum_orient_20260605!F$1,result_20260526!$1:$1,0)))</f>
        <v>0</v>
      </c>
      <c r="G3">
        <f>SUMIF(result_20260605!$A:$A,sum_orient_20260605!$A3,INDEX(result_20260605!$A:$Z,0,MATCH(sum_orient_20260605!G$1,result_20260605!$1:$1,0)))</f>
        <v>0</v>
      </c>
      <c r="H3">
        <f>SUMIF(result_20260605!$A:$A,sum_orient_20260605!$A3,INDEX(result_20260605!$A:$Z,0,MATCH(sum_orient_20260605!H$1,result_20260605!$1:$1,0)))</f>
        <v>0</v>
      </c>
      <c r="I3">
        <f>SUMIF(result_20260605!$A:$A,sum_orient_20260605!$A3,INDEX(result_20260605!$A:$Z,0,MATCH(sum_orient_20260605!I$1,result_20260605!$1:$1,0)))</f>
        <v>22</v>
      </c>
      <c r="J3">
        <f>SUMIF(result_20260605!$A:$A,sum_orient_20260605!$A3,INDEX(result_20260605!$A:$Z,0,MATCH(sum_orient_20260605!J$1,result_20260605!$1:$1,0)))</f>
        <v>0</v>
      </c>
      <c r="K3">
        <f>SUMIF(result_20260605!$A:$A,sum_orient_20260605!$A3,INDEX(result_20260605!$A:$Z,0,MATCH(sum_orient_20260605!K$1,result_20260605!$1:$1,0)))</f>
        <v>0</v>
      </c>
      <c r="L3">
        <f>SUMIF(result_20260605!$A:$A,sum_orient_20260605!$A3,INDEX(result_20260605!$A:$Z,0,MATCH(sum_orient_20260605!L$1,result_20260605!$1:$1,0)))</f>
        <v>0</v>
      </c>
      <c r="M3">
        <f>SUMIF(result_20260605!$A:$A,sum_orient_20260605!$A3,INDEX(result_20260605!$A:$Z,0,MATCH(sum_orient_20260605!M$1,result_20260605!$1:$1,0)))</f>
        <v>3</v>
      </c>
      <c r="N3">
        <f>SUMIF(result_20260605!$A:$A,sum_orient_20260605!$A3,INDEX(result_20260605!$A:$Z,0,MATCH(sum_orient_20260605!N$1,result_20260605!$1:$1,0)))</f>
        <v>0</v>
      </c>
      <c r="O3">
        <f t="shared" ref="O3:O9" si="0">SUM(B3:E3)</f>
        <v>27</v>
      </c>
      <c r="P3" s="8">
        <f t="shared" ref="P3:P10" si="1">SUM(B3+C3)/O3</f>
        <v>7.407407407407407E-2</v>
      </c>
    </row>
    <row r="4" spans="1:16">
      <c r="A4">
        <v>3</v>
      </c>
      <c r="B4">
        <f>SUMIF(result_20260605!$A:$A,sum_orient_20260605!$A4,INDEX(result_20260605!$A:$Z,0,MATCH(sum_orient_20260605!B$1,result_20260605!$1:$1,0)))</f>
        <v>0</v>
      </c>
      <c r="C4">
        <f>SUMIF(result_20260605!$A:$A,sum_orient_20260605!$A4,INDEX(result_20260605!$A:$Z,0,MATCH(sum_orient_20260605!C$1,result_20260605!$1:$1,0)))</f>
        <v>0</v>
      </c>
      <c r="D4">
        <f>SUMIF(result_20260605!$A:$A,sum_orient_20260605!$A4,INDEX(result_20260605!$A:$Z,0,MATCH(sum_orient_20260605!D$1,result_20260605!$1:$1,0)))</f>
        <v>0</v>
      </c>
      <c r="E4">
        <f>SUMIF(result_20260605!$A:$A,sum_orient_20260605!$A4,INDEX(result_20260605!$A:$Z,0,MATCH(sum_orient_20260605!E$1,result_20260605!$1:$1,0)))</f>
        <v>18</v>
      </c>
      <c r="F4">
        <f>SUMIF(result_20260526!$A:$A,sum_orient_20260605!$A4,INDEX(result_20260526!$A:$Z,0,MATCH(sum_orient_20260605!F$1,result_20260526!$1:$1,0)))</f>
        <v>0</v>
      </c>
      <c r="G4">
        <f>SUMIF(result_20260605!$A:$A,sum_orient_20260605!$A4,INDEX(result_20260605!$A:$Z,0,MATCH(sum_orient_20260605!G$1,result_20260605!$1:$1,0)))</f>
        <v>1</v>
      </c>
      <c r="H4">
        <f>SUMIF(result_20260605!$A:$A,sum_orient_20260605!$A4,INDEX(result_20260605!$A:$Z,0,MATCH(sum_orient_20260605!H$1,result_20260605!$1:$1,0)))</f>
        <v>0</v>
      </c>
      <c r="I4">
        <f>SUMIF(result_20260605!$A:$A,sum_orient_20260605!$A4,INDEX(result_20260605!$A:$Z,0,MATCH(sum_orient_20260605!I$1,result_20260605!$1:$1,0)))</f>
        <v>5</v>
      </c>
      <c r="J4">
        <f>SUMIF(result_20260605!$A:$A,sum_orient_20260605!$A4,INDEX(result_20260605!$A:$Z,0,MATCH(sum_orient_20260605!J$1,result_20260605!$1:$1,0)))</f>
        <v>0</v>
      </c>
      <c r="K4">
        <f>SUMIF(result_20260605!$A:$A,sum_orient_20260605!$A4,INDEX(result_20260605!$A:$Z,0,MATCH(sum_orient_20260605!K$1,result_20260605!$1:$1,0)))</f>
        <v>0</v>
      </c>
      <c r="L4">
        <f>SUMIF(result_20260605!$A:$A,sum_orient_20260605!$A4,INDEX(result_20260605!$A:$Z,0,MATCH(sum_orient_20260605!L$1,result_20260605!$1:$1,0)))</f>
        <v>12</v>
      </c>
      <c r="M4">
        <f>SUMIF(result_20260605!$A:$A,sum_orient_20260605!$A4,INDEX(result_20260605!$A:$Z,0,MATCH(sum_orient_20260605!M$1,result_20260605!$1:$1,0)))</f>
        <v>0</v>
      </c>
      <c r="N4">
        <f>SUMIF(result_20260605!$A:$A,sum_orient_20260605!$A4,INDEX(result_20260605!$A:$Z,0,MATCH(sum_orient_20260605!N$1,result_20260605!$1:$1,0)))</f>
        <v>0</v>
      </c>
      <c r="O4">
        <f t="shared" si="0"/>
        <v>18</v>
      </c>
      <c r="P4" s="8">
        <f t="shared" si="1"/>
        <v>0</v>
      </c>
    </row>
    <row r="5" spans="1:16">
      <c r="A5">
        <v>4</v>
      </c>
      <c r="B5">
        <f>SUMIF(result_20260605!$A:$A,sum_orient_20260605!$A5,INDEX(result_20260605!$A:$Z,0,MATCH(sum_orient_20260605!B$1,result_20260605!$1:$1,0)))</f>
        <v>1</v>
      </c>
      <c r="C5">
        <f>SUMIF(result_20260605!$A:$A,sum_orient_20260605!$A5,INDEX(result_20260605!$A:$Z,0,MATCH(sum_orient_20260605!C$1,result_20260605!$1:$1,0)))</f>
        <v>15</v>
      </c>
      <c r="D5">
        <f>SUMIF(result_20260605!$A:$A,sum_orient_20260605!$A5,INDEX(result_20260605!$A:$Z,0,MATCH(sum_orient_20260605!D$1,result_20260605!$1:$1,0)))</f>
        <v>0</v>
      </c>
      <c r="E5">
        <f>SUMIF(result_20260605!$A:$A,sum_orient_20260605!$A5,INDEX(result_20260605!$A:$Z,0,MATCH(sum_orient_20260605!E$1,result_20260605!$1:$1,0)))</f>
        <v>2</v>
      </c>
      <c r="F5">
        <f>SUMIF(result_20260526!$A:$A,sum_orient_20260605!$A5,INDEX(result_20260526!$A:$Z,0,MATCH(sum_orient_20260605!F$1,result_20260526!$1:$1,0)))</f>
        <v>0</v>
      </c>
      <c r="G5">
        <f>SUMIF(result_20260605!$A:$A,sum_orient_20260605!$A5,INDEX(result_20260605!$A:$Z,0,MATCH(sum_orient_20260605!G$1,result_20260605!$1:$1,0)))</f>
        <v>0</v>
      </c>
      <c r="H5">
        <f>SUMIF(result_20260605!$A:$A,sum_orient_20260605!$A5,INDEX(result_20260605!$A:$Z,0,MATCH(sum_orient_20260605!H$1,result_20260605!$1:$1,0)))</f>
        <v>0</v>
      </c>
      <c r="I5">
        <f>SUMIF(result_20260605!$A:$A,sum_orient_20260605!$A5,INDEX(result_20260605!$A:$Z,0,MATCH(sum_orient_20260605!I$1,result_20260605!$1:$1,0)))</f>
        <v>0</v>
      </c>
      <c r="J5">
        <f>SUMIF(result_20260605!$A:$A,sum_orient_20260605!$A5,INDEX(result_20260605!$A:$Z,0,MATCH(sum_orient_20260605!J$1,result_20260605!$1:$1,0)))</f>
        <v>2</v>
      </c>
      <c r="K5">
        <f>SUMIF(result_20260605!$A:$A,sum_orient_20260605!$A5,INDEX(result_20260605!$A:$Z,0,MATCH(sum_orient_20260605!K$1,result_20260605!$1:$1,0)))</f>
        <v>0</v>
      </c>
      <c r="L5">
        <f>SUMIF(result_20260605!$A:$A,sum_orient_20260605!$A5,INDEX(result_20260605!$A:$Z,0,MATCH(sum_orient_20260605!L$1,result_20260605!$1:$1,0)))</f>
        <v>0</v>
      </c>
      <c r="M5">
        <f>SUMIF(result_20260605!$A:$A,sum_orient_20260605!$A5,INDEX(result_20260605!$A:$Z,0,MATCH(sum_orient_20260605!M$1,result_20260605!$1:$1,0)))</f>
        <v>0</v>
      </c>
      <c r="N5">
        <f>SUMIF(result_20260605!$A:$A,sum_orient_20260605!$A5,INDEX(result_20260605!$A:$Z,0,MATCH(sum_orient_20260605!N$1,result_20260605!$1:$1,0)))</f>
        <v>1</v>
      </c>
      <c r="O5">
        <f t="shared" si="0"/>
        <v>18</v>
      </c>
      <c r="P5" s="8">
        <f t="shared" si="1"/>
        <v>0.88888888888888884</v>
      </c>
    </row>
    <row r="6" spans="1:16">
      <c r="A6">
        <v>5</v>
      </c>
      <c r="B6">
        <f>SUMIF(result_20260605!$A:$A,sum_orient_20260605!$A6,INDEX(result_20260605!$A:$Z,0,MATCH(sum_orient_20260605!B$1,result_20260605!$1:$1,0)))</f>
        <v>6</v>
      </c>
      <c r="C6">
        <f>SUMIF(result_20260605!$A:$A,sum_orient_20260605!$A6,INDEX(result_20260605!$A:$Z,0,MATCH(sum_orient_20260605!C$1,result_20260605!$1:$1,0)))</f>
        <v>1</v>
      </c>
      <c r="D6">
        <f>SUMIF(result_20260605!$A:$A,sum_orient_20260605!$A6,INDEX(result_20260605!$A:$Z,0,MATCH(sum_orient_20260605!D$1,result_20260605!$1:$1,0)))</f>
        <v>0</v>
      </c>
      <c r="E6">
        <f>SUMIF(result_20260605!$A:$A,sum_orient_20260605!$A6,INDEX(result_20260605!$A:$Z,0,MATCH(sum_orient_20260605!E$1,result_20260605!$1:$1,0)))</f>
        <v>11</v>
      </c>
      <c r="F6">
        <f>SUMIF(result_20260526!$A:$A,sum_orient_20260605!$A6,INDEX(result_20260526!$A:$Z,0,MATCH(sum_orient_20260605!F$1,result_20260526!$1:$1,0)))</f>
        <v>3</v>
      </c>
      <c r="G6">
        <f>SUMIF(result_20260605!$A:$A,sum_orient_20260605!$A6,INDEX(result_20260605!$A:$Z,0,MATCH(sum_orient_20260605!G$1,result_20260605!$1:$1,0)))</f>
        <v>0</v>
      </c>
      <c r="H6">
        <f>SUMIF(result_20260605!$A:$A,sum_orient_20260605!$A6,INDEX(result_20260605!$A:$Z,0,MATCH(sum_orient_20260605!H$1,result_20260605!$1:$1,0)))</f>
        <v>0</v>
      </c>
      <c r="I6">
        <f>SUMIF(result_20260605!$A:$A,sum_orient_20260605!$A6,INDEX(result_20260605!$A:$Z,0,MATCH(sum_orient_20260605!I$1,result_20260605!$1:$1,0)))</f>
        <v>10</v>
      </c>
      <c r="J6">
        <f>SUMIF(result_20260605!$A:$A,sum_orient_20260605!$A6,INDEX(result_20260605!$A:$Z,0,MATCH(sum_orient_20260605!J$1,result_20260605!$1:$1,0)))</f>
        <v>0</v>
      </c>
      <c r="K6">
        <f>SUMIF(result_20260605!$A:$A,sum_orient_20260605!$A6,INDEX(result_20260605!$A:$Z,0,MATCH(sum_orient_20260605!K$1,result_20260605!$1:$1,0)))</f>
        <v>0</v>
      </c>
      <c r="L6">
        <f>SUMIF(result_20260605!$A:$A,sum_orient_20260605!$A6,INDEX(result_20260605!$A:$Z,0,MATCH(sum_orient_20260605!L$1,result_20260605!$1:$1,0)))</f>
        <v>1</v>
      </c>
      <c r="M6">
        <f>SUMIF(result_20260605!$A:$A,sum_orient_20260605!$A6,INDEX(result_20260605!$A:$Z,0,MATCH(sum_orient_20260605!M$1,result_20260605!$1:$1,0)))</f>
        <v>0</v>
      </c>
      <c r="N6">
        <f>SUMIF(result_20260605!$A:$A,sum_orient_20260605!$A6,INDEX(result_20260605!$A:$Z,0,MATCH(sum_orient_20260605!N$1,result_20260605!$1:$1,0)))</f>
        <v>0</v>
      </c>
      <c r="O6">
        <f t="shared" si="0"/>
        <v>18</v>
      </c>
      <c r="P6" s="8">
        <f t="shared" si="1"/>
        <v>0.3888888888888889</v>
      </c>
    </row>
    <row r="7" spans="1:16">
      <c r="A7">
        <v>6</v>
      </c>
      <c r="B7">
        <f>SUMIF(result_20260605!$A:$A,sum_orient_20260605!$A7,INDEX(result_20260605!$A:$Z,0,MATCH(sum_orient_20260605!B$1,result_20260605!$1:$1,0)))</f>
        <v>0</v>
      </c>
      <c r="C7">
        <f>SUMIF(result_20260605!$A:$A,sum_orient_20260605!$A7,INDEX(result_20260605!$A:$Z,0,MATCH(sum_orient_20260605!C$1,result_20260605!$1:$1,0)))</f>
        <v>7</v>
      </c>
      <c r="D7">
        <f>SUMIF(result_20260605!$A:$A,sum_orient_20260605!$A7,INDEX(result_20260605!$A:$Z,0,MATCH(sum_orient_20260605!D$1,result_20260605!$1:$1,0)))</f>
        <v>0</v>
      </c>
      <c r="E7">
        <f>SUMIF(result_20260605!$A:$A,sum_orient_20260605!$A7,INDEX(result_20260605!$A:$Z,0,MATCH(sum_orient_20260605!E$1,result_20260605!$1:$1,0)))</f>
        <v>11</v>
      </c>
      <c r="F7">
        <f>SUMIF(result_20260526!$A:$A,sum_orient_20260605!$A7,INDEX(result_20260526!$A:$Z,0,MATCH(sum_orient_20260605!F$1,result_20260526!$1:$1,0)))</f>
        <v>0</v>
      </c>
      <c r="G7">
        <f>SUMIF(result_20260605!$A:$A,sum_orient_20260605!$A7,INDEX(result_20260605!$A:$Z,0,MATCH(sum_orient_20260605!G$1,result_20260605!$1:$1,0)))</f>
        <v>0</v>
      </c>
      <c r="H7">
        <f>SUMIF(result_20260605!$A:$A,sum_orient_20260605!$A7,INDEX(result_20260605!$A:$Z,0,MATCH(sum_orient_20260605!H$1,result_20260605!$1:$1,0)))</f>
        <v>0</v>
      </c>
      <c r="I7">
        <f>SUMIF(result_20260605!$A:$A,sum_orient_20260605!$A7,INDEX(result_20260605!$A:$Z,0,MATCH(sum_orient_20260605!I$1,result_20260605!$1:$1,0)))</f>
        <v>10</v>
      </c>
      <c r="J7">
        <f>SUMIF(result_20260605!$A:$A,sum_orient_20260605!$A7,INDEX(result_20260605!$A:$Z,0,MATCH(sum_orient_20260605!J$1,result_20260605!$1:$1,0)))</f>
        <v>0</v>
      </c>
      <c r="K7">
        <f>SUMIF(result_20260605!$A:$A,sum_orient_20260605!$A7,INDEX(result_20260605!$A:$Z,0,MATCH(sum_orient_20260605!K$1,result_20260605!$1:$1,0)))</f>
        <v>0</v>
      </c>
      <c r="L7">
        <f>SUMIF(result_20260605!$A:$A,sum_orient_20260605!$A7,INDEX(result_20260605!$A:$Z,0,MATCH(sum_orient_20260605!L$1,result_20260605!$1:$1,0)))</f>
        <v>0</v>
      </c>
      <c r="M7">
        <f>SUMIF(result_20260605!$A:$A,sum_orient_20260605!$A7,INDEX(result_20260605!$A:$Z,0,MATCH(sum_orient_20260605!M$1,result_20260605!$1:$1,0)))</f>
        <v>1</v>
      </c>
      <c r="N7">
        <f>SUMIF(result_20260605!$A:$A,sum_orient_20260605!$A7,INDEX(result_20260605!$A:$Z,0,MATCH(sum_orient_20260605!N$1,result_20260605!$1:$1,0)))</f>
        <v>0</v>
      </c>
      <c r="O7">
        <f t="shared" si="0"/>
        <v>18</v>
      </c>
      <c r="P7" s="8">
        <f t="shared" si="1"/>
        <v>0.3888888888888889</v>
      </c>
    </row>
    <row r="8" spans="1:16">
      <c r="A8">
        <v>7</v>
      </c>
      <c r="B8">
        <f>SUMIF(result_20260605!$A:$A,sum_orient_20260605!$A8,INDEX(result_20260605!$A:$Z,0,MATCH(sum_orient_20260605!B$1,result_20260605!$1:$1,0)))</f>
        <v>0</v>
      </c>
      <c r="C8">
        <f>SUMIF(result_20260605!$A:$A,sum_orient_20260605!$A8,INDEX(result_20260605!$A:$Z,0,MATCH(sum_orient_20260605!C$1,result_20260605!$1:$1,0)))</f>
        <v>4</v>
      </c>
      <c r="D8">
        <f>SUMIF(result_20260605!$A:$A,sum_orient_20260605!$A8,INDEX(result_20260605!$A:$Z,0,MATCH(sum_orient_20260605!D$1,result_20260605!$1:$1,0)))</f>
        <v>0</v>
      </c>
      <c r="E8">
        <f>SUMIF(result_20260605!$A:$A,sum_orient_20260605!$A8,INDEX(result_20260605!$A:$Z,0,MATCH(sum_orient_20260605!E$1,result_20260605!$1:$1,0)))</f>
        <v>14</v>
      </c>
      <c r="F8">
        <f>SUMIF(result_20260526!$A:$A,sum_orient_20260605!$A8,INDEX(result_20260526!$A:$Z,0,MATCH(sum_orient_20260605!F$1,result_20260526!$1:$1,0)))</f>
        <v>1</v>
      </c>
      <c r="G8">
        <f>SUMIF(result_20260605!$A:$A,sum_orient_20260605!$A8,INDEX(result_20260605!$A:$Z,0,MATCH(sum_orient_20260605!G$1,result_20260605!$1:$1,0)))</f>
        <v>0</v>
      </c>
      <c r="H8">
        <f>SUMIF(result_20260605!$A:$A,sum_orient_20260605!$A8,INDEX(result_20260605!$A:$Z,0,MATCH(sum_orient_20260605!H$1,result_20260605!$1:$1,0)))</f>
        <v>0</v>
      </c>
      <c r="I8">
        <f>SUMIF(result_20260605!$A:$A,sum_orient_20260605!$A8,INDEX(result_20260605!$A:$Z,0,MATCH(sum_orient_20260605!I$1,result_20260605!$1:$1,0)))</f>
        <v>10</v>
      </c>
      <c r="J8">
        <f>SUMIF(result_20260605!$A:$A,sum_orient_20260605!$A8,INDEX(result_20260605!$A:$Z,0,MATCH(sum_orient_20260605!J$1,result_20260605!$1:$1,0)))</f>
        <v>0</v>
      </c>
      <c r="K8">
        <f>SUMIF(result_20260605!$A:$A,sum_orient_20260605!$A8,INDEX(result_20260605!$A:$Z,0,MATCH(sum_orient_20260605!K$1,result_20260605!$1:$1,0)))</f>
        <v>0</v>
      </c>
      <c r="L8">
        <f>SUMIF(result_20260605!$A:$A,sum_orient_20260605!$A8,INDEX(result_20260605!$A:$Z,0,MATCH(sum_orient_20260605!L$1,result_20260605!$1:$1,0)))</f>
        <v>1</v>
      </c>
      <c r="M8">
        <f>SUMIF(result_20260605!$A:$A,sum_orient_20260605!$A8,INDEX(result_20260605!$A:$Z,0,MATCH(sum_orient_20260605!M$1,result_20260605!$1:$1,0)))</f>
        <v>3</v>
      </c>
      <c r="N8">
        <f>SUMIF(result_20260605!$A:$A,sum_orient_20260605!$A8,INDEX(result_20260605!$A:$Z,0,MATCH(sum_orient_20260605!N$1,result_20260605!$1:$1,0)))</f>
        <v>0</v>
      </c>
      <c r="O8">
        <f t="shared" si="0"/>
        <v>18</v>
      </c>
      <c r="P8" s="8">
        <f t="shared" si="1"/>
        <v>0.22222222222222221</v>
      </c>
    </row>
    <row r="9" spans="1:16">
      <c r="A9">
        <v>8</v>
      </c>
      <c r="B9">
        <f>SUMIF(result_20260605!$A:$A,sum_orient_20260605!$A9,INDEX(result_20260605!$A:$Z,0,MATCH(sum_orient_20260605!B$1,result_20260605!$1:$1,0)))</f>
        <v>3</v>
      </c>
      <c r="C9">
        <f>SUMIF(result_20260605!$A:$A,sum_orient_20260605!$A9,INDEX(result_20260605!$A:$Z,0,MATCH(sum_orient_20260605!C$1,result_20260605!$1:$1,0)))</f>
        <v>10</v>
      </c>
      <c r="D9">
        <f>SUMIF(result_20260605!$A:$A,sum_orient_20260605!$A9,INDEX(result_20260605!$A:$Z,0,MATCH(sum_orient_20260605!D$1,result_20260605!$1:$1,0)))</f>
        <v>0</v>
      </c>
      <c r="E9">
        <f>SUMIF(result_20260605!$A:$A,sum_orient_20260605!$A9,INDEX(result_20260605!$A:$Z,0,MATCH(sum_orient_20260605!E$1,result_20260605!$1:$1,0)))</f>
        <v>5</v>
      </c>
      <c r="F9">
        <f>SUMIF(result_20260526!$A:$A,sum_orient_20260605!$A9,INDEX(result_20260526!$A:$Z,0,MATCH(sum_orient_20260605!F$1,result_20260526!$1:$1,0)))</f>
        <v>0</v>
      </c>
      <c r="G9">
        <f>SUMIF(result_20260605!$A:$A,sum_orient_20260605!$A9,INDEX(result_20260605!$A:$Z,0,MATCH(sum_orient_20260605!G$1,result_20260605!$1:$1,0)))</f>
        <v>0</v>
      </c>
      <c r="H9">
        <f>SUMIF(result_20260605!$A:$A,sum_orient_20260605!$A9,INDEX(result_20260605!$A:$Z,0,MATCH(sum_orient_20260605!H$1,result_20260605!$1:$1,0)))</f>
        <v>0</v>
      </c>
      <c r="I9">
        <f>SUMIF(result_20260605!$A:$A,sum_orient_20260605!$A9,INDEX(result_20260605!$A:$Z,0,MATCH(sum_orient_20260605!I$1,result_20260605!$1:$1,0)))</f>
        <v>4</v>
      </c>
      <c r="J9">
        <f>SUMIF(result_20260605!$A:$A,sum_orient_20260605!$A9,INDEX(result_20260605!$A:$Z,0,MATCH(sum_orient_20260605!J$1,result_20260605!$1:$1,0)))</f>
        <v>0</v>
      </c>
      <c r="K9">
        <f>SUMIF(result_20260605!$A:$A,sum_orient_20260605!$A9,INDEX(result_20260605!$A:$Z,0,MATCH(sum_orient_20260605!K$1,result_20260605!$1:$1,0)))</f>
        <v>0</v>
      </c>
      <c r="L9">
        <f>SUMIF(result_20260605!$A:$A,sum_orient_20260605!$A9,INDEX(result_20260605!$A:$Z,0,MATCH(sum_orient_20260605!L$1,result_20260605!$1:$1,0)))</f>
        <v>0</v>
      </c>
      <c r="M9">
        <f>SUMIF(result_20260605!$A:$A,sum_orient_20260605!$A9,INDEX(result_20260605!$A:$Z,0,MATCH(sum_orient_20260605!M$1,result_20260605!$1:$1,0)))</f>
        <v>1</v>
      </c>
      <c r="N9">
        <f>SUMIF(result_20260605!$A:$A,sum_orient_20260605!$A9,INDEX(result_20260605!$A:$Z,0,MATCH(sum_orient_20260605!N$1,result_20260605!$1:$1,0)))</f>
        <v>4</v>
      </c>
      <c r="O9">
        <f t="shared" si="0"/>
        <v>18</v>
      </c>
      <c r="P9" s="8">
        <f t="shared" si="1"/>
        <v>0.72222222222222221</v>
      </c>
    </row>
    <row r="10" spans="1:16">
      <c r="A10" s="24" t="s">
        <v>37</v>
      </c>
      <c r="B10" s="24">
        <f>SUM(B2:B9)</f>
        <v>25</v>
      </c>
      <c r="C10" s="24">
        <f t="shared" ref="C10:O10" si="2">SUM(C2:C9)</f>
        <v>40</v>
      </c>
      <c r="D10" s="24">
        <f t="shared" si="2"/>
        <v>0</v>
      </c>
      <c r="E10" s="24">
        <f t="shared" si="2"/>
        <v>97</v>
      </c>
      <c r="F10" s="24">
        <f t="shared" si="2"/>
        <v>4</v>
      </c>
      <c r="G10" s="24">
        <f t="shared" si="2"/>
        <v>1</v>
      </c>
      <c r="H10" s="24">
        <f t="shared" si="2"/>
        <v>0</v>
      </c>
      <c r="I10" s="24">
        <f t="shared" si="2"/>
        <v>70</v>
      </c>
      <c r="J10" s="24">
        <f t="shared" si="2"/>
        <v>2</v>
      </c>
      <c r="K10" s="24">
        <f t="shared" si="2"/>
        <v>0</v>
      </c>
      <c r="L10" s="24">
        <f t="shared" si="2"/>
        <v>14</v>
      </c>
      <c r="M10" s="24">
        <f t="shared" si="2"/>
        <v>10</v>
      </c>
      <c r="N10" s="24">
        <f t="shared" si="2"/>
        <v>6</v>
      </c>
      <c r="O10" s="24">
        <f t="shared" si="2"/>
        <v>162</v>
      </c>
      <c r="P10" s="25">
        <f t="shared" si="1"/>
        <v>0.40123456790123457</v>
      </c>
    </row>
  </sheetData>
  <phoneticPr fontId="1" type="noConversion"/>
  <conditionalFormatting sqref="P2">
    <cfRule type="colorScale" priority="2">
      <colorScale>
        <cfvo type="percent" val="0"/>
        <cfvo type="percentile" val="50"/>
        <cfvo type="percent" val="100"/>
        <color rgb="FFF8696B"/>
        <color rgb="FFFFEB84"/>
        <color rgb="FF63BE7B"/>
      </colorScale>
    </cfRule>
  </conditionalFormatting>
  <conditionalFormatting sqref="P2:P1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5273A-FEC8-4647-B3DC-633A84515E30}">
  <sheetPr>
    <tabColor theme="7" tint="-0.249977111117893"/>
  </sheetPr>
  <dimension ref="A1:P11"/>
  <sheetViews>
    <sheetView workbookViewId="0">
      <selection activeCell="O33" sqref="O33"/>
    </sheetView>
  </sheetViews>
  <sheetFormatPr defaultRowHeight="14.25"/>
  <cols>
    <col min="3" max="3" width="23.5" bestFit="1" customWidth="1"/>
    <col min="4" max="4" width="32.125" bestFit="1" customWidth="1"/>
    <col min="7" max="7" width="17.5" style="8" bestFit="1" customWidth="1"/>
  </cols>
  <sheetData>
    <row r="1" spans="1:16">
      <c r="A1" s="24" t="s">
        <v>3</v>
      </c>
      <c r="B1" s="24" t="s">
        <v>0</v>
      </c>
      <c r="C1" s="24" t="s">
        <v>16</v>
      </c>
      <c r="D1" s="24" t="s">
        <v>23</v>
      </c>
      <c r="E1" s="24" t="s">
        <v>17</v>
      </c>
      <c r="F1" s="24" t="s">
        <v>19</v>
      </c>
      <c r="G1" s="24" t="s">
        <v>1</v>
      </c>
      <c r="H1" s="24" t="s">
        <v>22</v>
      </c>
      <c r="I1" s="24" t="s">
        <v>68</v>
      </c>
      <c r="J1" s="24" t="s">
        <v>2</v>
      </c>
      <c r="K1" s="24" t="s">
        <v>20</v>
      </c>
      <c r="L1" s="24" t="s">
        <v>25</v>
      </c>
      <c r="M1" s="24" t="s">
        <v>21</v>
      </c>
      <c r="N1" s="24" t="s">
        <v>24</v>
      </c>
      <c r="O1" s="24" t="s">
        <v>35</v>
      </c>
      <c r="P1" s="25" t="s">
        <v>36</v>
      </c>
    </row>
    <row r="2" spans="1:16">
      <c r="A2" t="s">
        <v>6</v>
      </c>
      <c r="B2">
        <f>SUMIF(result_20260605!$B:$B,sum_pos_20260605!$A2,INDEX(result_20260605!$A:$Z,0,MATCH(sum_pos_20260605!B$1,result_20260605!$1:$1,0)))</f>
        <v>3</v>
      </c>
      <c r="C2">
        <f>SUMIF(result_20260605!$B:$B,sum_pos_20260605!$A2,INDEX(result_20260605!$A:$Z,0,MATCH(sum_pos_20260605!C$1,result_20260605!$1:$1,0)))</f>
        <v>8</v>
      </c>
      <c r="D2">
        <f>SUMIF(result_20260605!$B:$B,sum_pos_20260605!$A2,INDEX(result_20260605!$A:$Z,0,MATCH(sum_pos_20260605!D$1,result_20260605!$1:$1,0)))</f>
        <v>0</v>
      </c>
      <c r="E2">
        <f>SUMIF(result_20260605!$B:$B,sum_pos_20260605!$A2,INDEX(result_20260605!$A:$Z,0,MATCH(sum_pos_20260605!E$1,result_20260605!$1:$1,0)))</f>
        <v>13</v>
      </c>
      <c r="F2">
        <f>SUMIF(result_20260605!$B:$B,sum_pos_20260605!$A2,INDEX(result_20260605!$A:$Z,0,MATCH(sum_pos_20260605!F$1,result_20260605!$1:$1,0)))</f>
        <v>0</v>
      </c>
      <c r="G2">
        <f>SUMIF(result_20260605!$B:$B,sum_pos_20260605!$A2,INDEX(result_20260605!$A:$Z,0,MATCH(sum_pos_20260605!G$1,result_20260605!$1:$1,0)))</f>
        <v>0</v>
      </c>
      <c r="H2">
        <f>SUMIF(result_20260605!$B:$B,sum_pos_20260605!$A2,INDEX(result_20260605!$A:$Z,0,MATCH(sum_pos_20260605!H$1,result_20260605!$1:$1,0)))</f>
        <v>0</v>
      </c>
      <c r="I2">
        <f>SUMIF(result_20260605!$B:$B,sum_pos_20260605!$A2,INDEX(result_20260605!$A:$Z,0,MATCH(sum_pos_20260605!I$1,result_20260605!$1:$1,0)))</f>
        <v>10</v>
      </c>
      <c r="J2">
        <f>SUMIF(result_20260605!$B:$B,sum_pos_20260605!$A2,INDEX(result_20260605!$A:$Z,0,MATCH(sum_pos_20260605!J$1,result_20260605!$1:$1,0)))</f>
        <v>0</v>
      </c>
      <c r="K2">
        <f>SUMIF(result_20260605!$B:$B,sum_pos_20260605!$A2,INDEX(result_20260605!$A:$Z,0,MATCH(sum_pos_20260605!K$1,result_20260605!$1:$1,0)))</f>
        <v>0</v>
      </c>
      <c r="L2">
        <f>SUMIF(result_20260605!$B:$B,sum_pos_20260605!$A2,INDEX(result_20260605!$A:$Z,0,MATCH(sum_pos_20260605!L$1,result_20260605!$1:$1,0)))</f>
        <v>2</v>
      </c>
      <c r="M2">
        <f>SUMIF(result_20260605!$B:$B,sum_pos_20260605!$A2,INDEX(result_20260605!$A:$Z,0,MATCH(sum_pos_20260605!M$1,result_20260605!$1:$1,0)))</f>
        <v>0</v>
      </c>
      <c r="N2">
        <f>SUMIF(result_20260605!$B:$B,sum_pos_20260605!$A2,INDEX(result_20260605!$A:$Z,0,MATCH(sum_pos_20260605!N$1,result_20260605!$1:$1,0)))</f>
        <v>0</v>
      </c>
      <c r="O2">
        <f t="shared" ref="O2:O10" si="0">SUM(B2:E2)</f>
        <v>24</v>
      </c>
      <c r="P2" s="8">
        <f t="shared" ref="P2:P10" si="1">SUM(B2:C2)/O2</f>
        <v>0.45833333333333331</v>
      </c>
    </row>
    <row r="3" spans="1:16">
      <c r="A3" t="s">
        <v>7</v>
      </c>
      <c r="B3">
        <f>SUMIF(result_20260605!$B:$B,sum_pos_20260605!$A3,INDEX(result_20260605!$A:$Z,0,MATCH(sum_pos_20260605!B$1,result_20260605!$1:$1,0)))</f>
        <v>3</v>
      </c>
      <c r="C3">
        <f>SUMIF(result_20260605!$B:$B,sum_pos_20260605!$A3,INDEX(result_20260605!$A:$Z,0,MATCH(sum_pos_20260605!C$1,result_20260605!$1:$1,0)))</f>
        <v>0</v>
      </c>
      <c r="D3">
        <f>SUMIF(result_20260605!$B:$B,sum_pos_20260605!$A3,INDEX(result_20260605!$A:$Z,0,MATCH(sum_pos_20260605!D$1,result_20260605!$1:$1,0)))</f>
        <v>0</v>
      </c>
      <c r="E3">
        <f>SUMIF(result_20260605!$B:$B,sum_pos_20260605!$A3,INDEX(result_20260605!$A:$Z,0,MATCH(sum_pos_20260605!E$1,result_20260605!$1:$1,0)))</f>
        <v>3</v>
      </c>
      <c r="F3">
        <f>SUMIF(result_20260605!$B:$B,sum_pos_20260605!$A3,INDEX(result_20260605!$A:$Z,0,MATCH(sum_pos_20260605!F$1,result_20260605!$1:$1,0)))</f>
        <v>0</v>
      </c>
      <c r="G3">
        <f>SUMIF(result_20260605!$B:$B,sum_pos_20260605!$A3,INDEX(result_20260605!$A:$Z,0,MATCH(sum_pos_20260605!G$1,result_20260605!$1:$1,0)))</f>
        <v>0</v>
      </c>
      <c r="H3">
        <f>SUMIF(result_20260605!$B:$B,sum_pos_20260605!$A3,INDEX(result_20260605!$A:$Z,0,MATCH(sum_pos_20260605!H$1,result_20260605!$1:$1,0)))</f>
        <v>0</v>
      </c>
      <c r="I3">
        <f>SUMIF(result_20260605!$B:$B,sum_pos_20260605!$A3,INDEX(result_20260605!$A:$Z,0,MATCH(sum_pos_20260605!I$1,result_20260605!$1:$1,0)))</f>
        <v>3</v>
      </c>
      <c r="J3">
        <f>SUMIF(result_20260605!$B:$B,sum_pos_20260605!$A3,INDEX(result_20260605!$A:$Z,0,MATCH(sum_pos_20260605!J$1,result_20260605!$1:$1,0)))</f>
        <v>0</v>
      </c>
      <c r="K3">
        <f>SUMIF(result_20260605!$B:$B,sum_pos_20260605!$A3,INDEX(result_20260605!$A:$Z,0,MATCH(sum_pos_20260605!K$1,result_20260605!$1:$1,0)))</f>
        <v>0</v>
      </c>
      <c r="L3">
        <f>SUMIF(result_20260605!$B:$B,sum_pos_20260605!$A3,INDEX(result_20260605!$A:$Z,0,MATCH(sum_pos_20260605!L$1,result_20260605!$1:$1,0)))</f>
        <v>0</v>
      </c>
      <c r="M3">
        <f>SUMIF(result_20260605!$B:$B,sum_pos_20260605!$A3,INDEX(result_20260605!$A:$Z,0,MATCH(sum_pos_20260605!M$1,result_20260605!$1:$1,0)))</f>
        <v>0</v>
      </c>
      <c r="N3">
        <f>SUMIF(result_20260605!$B:$B,sum_pos_20260605!$A3,INDEX(result_20260605!$A:$Z,0,MATCH(sum_pos_20260605!N$1,result_20260605!$1:$1,0)))</f>
        <v>0</v>
      </c>
      <c r="O3">
        <f t="shared" si="0"/>
        <v>6</v>
      </c>
      <c r="P3" s="8">
        <f t="shared" si="1"/>
        <v>0.5</v>
      </c>
    </row>
    <row r="4" spans="1:16">
      <c r="A4" t="s">
        <v>8</v>
      </c>
      <c r="B4">
        <f>SUMIF(result_20260605!$B:$B,sum_pos_20260605!$A4,INDEX(result_20260605!$A:$Z,0,MATCH(sum_pos_20260605!B$1,result_20260605!$1:$1,0)))</f>
        <v>3</v>
      </c>
      <c r="C4">
        <f>SUMIF(result_20260605!$B:$B,sum_pos_20260605!$A4,INDEX(result_20260605!$A:$Z,0,MATCH(sum_pos_20260605!C$1,result_20260605!$1:$1,0)))</f>
        <v>5</v>
      </c>
      <c r="D4">
        <f>SUMIF(result_20260605!$B:$B,sum_pos_20260605!$A4,INDEX(result_20260605!$A:$Z,0,MATCH(sum_pos_20260605!D$1,result_20260605!$1:$1,0)))</f>
        <v>0</v>
      </c>
      <c r="E4">
        <f>SUMIF(result_20260605!$B:$B,sum_pos_20260605!$A4,INDEX(result_20260605!$A:$Z,0,MATCH(sum_pos_20260605!E$1,result_20260605!$1:$1,0)))</f>
        <v>16</v>
      </c>
      <c r="F4">
        <f>SUMIF(result_20260605!$B:$B,sum_pos_20260605!$A4,INDEX(result_20260605!$A:$Z,0,MATCH(sum_pos_20260605!F$1,result_20260605!$1:$1,0)))</f>
        <v>0</v>
      </c>
      <c r="G4">
        <f>SUMIF(result_20260605!$B:$B,sum_pos_20260605!$A4,INDEX(result_20260605!$A:$Z,0,MATCH(sum_pos_20260605!G$1,result_20260605!$1:$1,0)))</f>
        <v>1</v>
      </c>
      <c r="H4">
        <f>SUMIF(result_20260605!$B:$B,sum_pos_20260605!$A4,INDEX(result_20260605!$A:$Z,0,MATCH(sum_pos_20260605!H$1,result_20260605!$1:$1,0)))</f>
        <v>0</v>
      </c>
      <c r="I4">
        <f>SUMIF(result_20260605!$B:$B,sum_pos_20260605!$A4,INDEX(result_20260605!$A:$Z,0,MATCH(sum_pos_20260605!I$1,result_20260605!$1:$1,0)))</f>
        <v>10</v>
      </c>
      <c r="J4">
        <f>SUMIF(result_20260605!$B:$B,sum_pos_20260605!$A4,INDEX(result_20260605!$A:$Z,0,MATCH(sum_pos_20260605!J$1,result_20260605!$1:$1,0)))</f>
        <v>0</v>
      </c>
      <c r="K4">
        <f>SUMIF(result_20260605!$B:$B,sum_pos_20260605!$A4,INDEX(result_20260605!$A:$Z,0,MATCH(sum_pos_20260605!K$1,result_20260605!$1:$1,0)))</f>
        <v>0</v>
      </c>
      <c r="L4">
        <f>SUMIF(result_20260605!$B:$B,sum_pos_20260605!$A4,INDEX(result_20260605!$A:$Z,0,MATCH(sum_pos_20260605!L$1,result_20260605!$1:$1,0)))</f>
        <v>1</v>
      </c>
      <c r="M4">
        <f>SUMIF(result_20260605!$B:$B,sum_pos_20260605!$A4,INDEX(result_20260605!$A:$Z,0,MATCH(sum_pos_20260605!M$1,result_20260605!$1:$1,0)))</f>
        <v>5</v>
      </c>
      <c r="N4">
        <f>SUMIF(result_20260605!$B:$B,sum_pos_20260605!$A4,INDEX(result_20260605!$A:$Z,0,MATCH(sum_pos_20260605!N$1,result_20260605!$1:$1,0)))</f>
        <v>0</v>
      </c>
      <c r="O4">
        <f t="shared" si="0"/>
        <v>24</v>
      </c>
      <c r="P4" s="8">
        <f t="shared" si="1"/>
        <v>0.33333333333333331</v>
      </c>
    </row>
    <row r="5" spans="1:16">
      <c r="A5" t="s">
        <v>9</v>
      </c>
      <c r="B5">
        <f>SUMIF(result_20260605!$B:$B,sum_pos_20260605!$A5,INDEX(result_20260605!$A:$Z,0,MATCH(sum_pos_20260605!B$1,result_20260605!$1:$1,0)))</f>
        <v>4</v>
      </c>
      <c r="C5">
        <f>SUMIF(result_20260605!$B:$B,sum_pos_20260605!$A5,INDEX(result_20260605!$A:$Z,0,MATCH(sum_pos_20260605!C$1,result_20260605!$1:$1,0)))</f>
        <v>5</v>
      </c>
      <c r="D5">
        <f>SUMIF(result_20260605!$B:$B,sum_pos_20260605!$A5,INDEX(result_20260605!$A:$Z,0,MATCH(sum_pos_20260605!D$1,result_20260605!$1:$1,0)))</f>
        <v>0</v>
      </c>
      <c r="E5">
        <f>SUMIF(result_20260605!$B:$B,sum_pos_20260605!$A5,INDEX(result_20260605!$A:$Z,0,MATCH(sum_pos_20260605!E$1,result_20260605!$1:$1,0)))</f>
        <v>15</v>
      </c>
      <c r="F5">
        <f>SUMIF(result_20260605!$B:$B,sum_pos_20260605!$A5,INDEX(result_20260605!$A:$Z,0,MATCH(sum_pos_20260605!F$1,result_20260605!$1:$1,0)))</f>
        <v>0</v>
      </c>
      <c r="G5">
        <f>SUMIF(result_20260605!$B:$B,sum_pos_20260605!$A5,INDEX(result_20260605!$A:$Z,0,MATCH(sum_pos_20260605!G$1,result_20260605!$1:$1,0)))</f>
        <v>0</v>
      </c>
      <c r="H5">
        <f>SUMIF(result_20260605!$B:$B,sum_pos_20260605!$A5,INDEX(result_20260605!$A:$Z,0,MATCH(sum_pos_20260605!H$1,result_20260605!$1:$1,0)))</f>
        <v>0</v>
      </c>
      <c r="I5">
        <f>SUMIF(result_20260605!$B:$B,sum_pos_20260605!$A5,INDEX(result_20260605!$A:$Z,0,MATCH(sum_pos_20260605!I$1,result_20260605!$1:$1,0)))</f>
        <v>11</v>
      </c>
      <c r="J5">
        <f>SUMIF(result_20260605!$B:$B,sum_pos_20260605!$A5,INDEX(result_20260605!$A:$Z,0,MATCH(sum_pos_20260605!J$1,result_20260605!$1:$1,0)))</f>
        <v>0</v>
      </c>
      <c r="K5">
        <f>SUMIF(result_20260605!$B:$B,sum_pos_20260605!$A5,INDEX(result_20260605!$A:$Z,0,MATCH(sum_pos_20260605!K$1,result_20260605!$1:$1,0)))</f>
        <v>0</v>
      </c>
      <c r="L5">
        <f>SUMIF(result_20260605!$B:$B,sum_pos_20260605!$A5,INDEX(result_20260605!$A:$Z,0,MATCH(sum_pos_20260605!L$1,result_20260605!$1:$1,0)))</f>
        <v>3</v>
      </c>
      <c r="M5">
        <f>SUMIF(result_20260605!$B:$B,sum_pos_20260605!$A5,INDEX(result_20260605!$A:$Z,0,MATCH(sum_pos_20260605!M$1,result_20260605!$1:$1,0)))</f>
        <v>1</v>
      </c>
      <c r="N5">
        <f>SUMIF(result_20260605!$B:$B,sum_pos_20260605!$A5,INDEX(result_20260605!$A:$Z,0,MATCH(sum_pos_20260605!N$1,result_20260605!$1:$1,0)))</f>
        <v>0</v>
      </c>
      <c r="O5">
        <f t="shared" si="0"/>
        <v>24</v>
      </c>
      <c r="P5" s="8">
        <f t="shared" si="1"/>
        <v>0.375</v>
      </c>
    </row>
    <row r="6" spans="1:16">
      <c r="A6" t="s">
        <v>10</v>
      </c>
      <c r="B6">
        <f>SUMIF(result_20260605!$B:$B,sum_pos_20260605!$A6,INDEX(result_20260605!$A:$Z,0,MATCH(sum_pos_20260605!B$1,result_20260605!$1:$1,0)))</f>
        <v>3</v>
      </c>
      <c r="C6">
        <f>SUMIF(result_20260605!$B:$B,sum_pos_20260605!$A6,INDEX(result_20260605!$A:$Z,0,MATCH(sum_pos_20260605!C$1,result_20260605!$1:$1,0)))</f>
        <v>0</v>
      </c>
      <c r="D6">
        <f>SUMIF(result_20260605!$B:$B,sum_pos_20260605!$A6,INDEX(result_20260605!$A:$Z,0,MATCH(sum_pos_20260605!D$1,result_20260605!$1:$1,0)))</f>
        <v>0</v>
      </c>
      <c r="E6">
        <f>SUMIF(result_20260605!$B:$B,sum_pos_20260605!$A6,INDEX(result_20260605!$A:$Z,0,MATCH(sum_pos_20260605!E$1,result_20260605!$1:$1,0)))</f>
        <v>3</v>
      </c>
      <c r="F6">
        <f>SUMIF(result_20260605!$B:$B,sum_pos_20260605!$A6,INDEX(result_20260605!$A:$Z,0,MATCH(sum_pos_20260605!F$1,result_20260605!$1:$1,0)))</f>
        <v>0</v>
      </c>
      <c r="G6">
        <f>SUMIF(result_20260605!$B:$B,sum_pos_20260605!$A6,INDEX(result_20260605!$A:$Z,0,MATCH(sum_pos_20260605!G$1,result_20260605!$1:$1,0)))</f>
        <v>0</v>
      </c>
      <c r="H6">
        <f>SUMIF(result_20260605!$B:$B,sum_pos_20260605!$A6,INDEX(result_20260605!$A:$Z,0,MATCH(sum_pos_20260605!H$1,result_20260605!$1:$1,0)))</f>
        <v>0</v>
      </c>
      <c r="I6">
        <f>SUMIF(result_20260605!$B:$B,sum_pos_20260605!$A6,INDEX(result_20260605!$A:$Z,0,MATCH(sum_pos_20260605!I$1,result_20260605!$1:$1,0)))</f>
        <v>3</v>
      </c>
      <c r="J6">
        <f>SUMIF(result_20260605!$B:$B,sum_pos_20260605!$A6,INDEX(result_20260605!$A:$Z,0,MATCH(sum_pos_20260605!J$1,result_20260605!$1:$1,0)))</f>
        <v>0</v>
      </c>
      <c r="K6">
        <f>SUMIF(result_20260605!$B:$B,sum_pos_20260605!$A6,INDEX(result_20260605!$A:$Z,0,MATCH(sum_pos_20260605!K$1,result_20260605!$1:$1,0)))</f>
        <v>0</v>
      </c>
      <c r="L6">
        <f>SUMIF(result_20260605!$B:$B,sum_pos_20260605!$A6,INDEX(result_20260605!$A:$Z,0,MATCH(sum_pos_20260605!L$1,result_20260605!$1:$1,0)))</f>
        <v>0</v>
      </c>
      <c r="M6">
        <f>SUMIF(result_20260605!$B:$B,sum_pos_20260605!$A6,INDEX(result_20260605!$A:$Z,0,MATCH(sum_pos_20260605!M$1,result_20260605!$1:$1,0)))</f>
        <v>0</v>
      </c>
      <c r="N6">
        <f>SUMIF(result_20260605!$B:$B,sum_pos_20260605!$A6,INDEX(result_20260605!$A:$Z,0,MATCH(sum_pos_20260605!N$1,result_20260605!$1:$1,0)))</f>
        <v>0</v>
      </c>
      <c r="O6">
        <f t="shared" si="0"/>
        <v>6</v>
      </c>
      <c r="P6" s="8">
        <f t="shared" si="1"/>
        <v>0.5</v>
      </c>
    </row>
    <row r="7" spans="1:16">
      <c r="A7" t="s">
        <v>11</v>
      </c>
      <c r="B7">
        <f>SUMIF(result_20260605!$B:$B,sum_pos_20260605!$A7,INDEX(result_20260605!$A:$Z,0,MATCH(sum_pos_20260605!B$1,result_20260605!$1:$1,0)))</f>
        <v>3</v>
      </c>
      <c r="C7">
        <f>SUMIF(result_20260605!$B:$B,sum_pos_20260605!$A7,INDEX(result_20260605!$A:$Z,0,MATCH(sum_pos_20260605!C$1,result_20260605!$1:$1,0)))</f>
        <v>9</v>
      </c>
      <c r="D7">
        <f>SUMIF(result_20260605!$B:$B,sum_pos_20260605!$A7,INDEX(result_20260605!$A:$Z,0,MATCH(sum_pos_20260605!D$1,result_20260605!$1:$1,0)))</f>
        <v>0</v>
      </c>
      <c r="E7">
        <f>SUMIF(result_20260605!$B:$B,sum_pos_20260605!$A7,INDEX(result_20260605!$A:$Z,0,MATCH(sum_pos_20260605!E$1,result_20260605!$1:$1,0)))</f>
        <v>12</v>
      </c>
      <c r="F7">
        <f>SUMIF(result_20260605!$B:$B,sum_pos_20260605!$A7,INDEX(result_20260605!$A:$Z,0,MATCH(sum_pos_20260605!F$1,result_20260605!$1:$1,0)))</f>
        <v>0</v>
      </c>
      <c r="G7">
        <f>SUMIF(result_20260605!$B:$B,sum_pos_20260605!$A7,INDEX(result_20260605!$A:$Z,0,MATCH(sum_pos_20260605!G$1,result_20260605!$1:$1,0)))</f>
        <v>0</v>
      </c>
      <c r="H7">
        <f>SUMIF(result_20260605!$B:$B,sum_pos_20260605!$A7,INDEX(result_20260605!$A:$Z,0,MATCH(sum_pos_20260605!H$1,result_20260605!$1:$1,0)))</f>
        <v>0</v>
      </c>
      <c r="I7">
        <f>SUMIF(result_20260605!$B:$B,sum_pos_20260605!$A7,INDEX(result_20260605!$A:$Z,0,MATCH(sum_pos_20260605!I$1,result_20260605!$1:$1,0)))</f>
        <v>10</v>
      </c>
      <c r="J7">
        <f>SUMIF(result_20260605!$B:$B,sum_pos_20260605!$A7,INDEX(result_20260605!$A:$Z,0,MATCH(sum_pos_20260605!J$1,result_20260605!$1:$1,0)))</f>
        <v>0</v>
      </c>
      <c r="K7">
        <f>SUMIF(result_20260605!$B:$B,sum_pos_20260605!$A7,INDEX(result_20260605!$A:$Z,0,MATCH(sum_pos_20260605!K$1,result_20260605!$1:$1,0)))</f>
        <v>0</v>
      </c>
      <c r="L7">
        <f>SUMIF(result_20260605!$B:$B,sum_pos_20260605!$A7,INDEX(result_20260605!$A:$Z,0,MATCH(sum_pos_20260605!L$1,result_20260605!$1:$1,0)))</f>
        <v>1</v>
      </c>
      <c r="M7">
        <f>SUMIF(result_20260605!$B:$B,sum_pos_20260605!$A7,INDEX(result_20260605!$A:$Z,0,MATCH(sum_pos_20260605!M$1,result_20260605!$1:$1,0)))</f>
        <v>1</v>
      </c>
      <c r="N7">
        <f>SUMIF(result_20260605!$B:$B,sum_pos_20260605!$A7,INDEX(result_20260605!$A:$Z,0,MATCH(sum_pos_20260605!N$1,result_20260605!$1:$1,0)))</f>
        <v>1</v>
      </c>
      <c r="O7">
        <f t="shared" si="0"/>
        <v>24</v>
      </c>
      <c r="P7" s="8">
        <f t="shared" si="1"/>
        <v>0.5</v>
      </c>
    </row>
    <row r="8" spans="1:16">
      <c r="A8" t="s">
        <v>12</v>
      </c>
      <c r="B8">
        <f>SUMIF(result_20260605!$B:$B,sum_pos_20260605!$A8,INDEX(result_20260605!$A:$Z,0,MATCH(sum_pos_20260605!B$1,result_20260605!$1:$1,0)))</f>
        <v>0</v>
      </c>
      <c r="C8">
        <f>SUMIF(result_20260605!$B:$B,sum_pos_20260605!$A8,INDEX(result_20260605!$A:$Z,0,MATCH(sum_pos_20260605!C$1,result_20260605!$1:$1,0)))</f>
        <v>8</v>
      </c>
      <c r="D8">
        <f>SUMIF(result_20260605!$B:$B,sum_pos_20260605!$A8,INDEX(result_20260605!$A:$Z,0,MATCH(sum_pos_20260605!D$1,result_20260605!$1:$1,0)))</f>
        <v>0</v>
      </c>
      <c r="E8">
        <f>SUMIF(result_20260605!$B:$B,sum_pos_20260605!$A8,INDEX(result_20260605!$A:$Z,0,MATCH(sum_pos_20260605!E$1,result_20260605!$1:$1,0)))</f>
        <v>16</v>
      </c>
      <c r="F8">
        <f>SUMIF(result_20260605!$B:$B,sum_pos_20260605!$A8,INDEX(result_20260605!$A:$Z,0,MATCH(sum_pos_20260605!F$1,result_20260605!$1:$1,0)))</f>
        <v>0</v>
      </c>
      <c r="G8">
        <f>SUMIF(result_20260605!$B:$B,sum_pos_20260605!$A8,INDEX(result_20260605!$A:$Z,0,MATCH(sum_pos_20260605!G$1,result_20260605!$1:$1,0)))</f>
        <v>0</v>
      </c>
      <c r="H8">
        <f>SUMIF(result_20260605!$B:$B,sum_pos_20260605!$A8,INDEX(result_20260605!$A:$Z,0,MATCH(sum_pos_20260605!H$1,result_20260605!$1:$1,0)))</f>
        <v>0</v>
      </c>
      <c r="I8">
        <f>SUMIF(result_20260605!$B:$B,sum_pos_20260605!$A8,INDEX(result_20260605!$A:$Z,0,MATCH(sum_pos_20260605!I$1,result_20260605!$1:$1,0)))</f>
        <v>11</v>
      </c>
      <c r="J8">
        <f>SUMIF(result_20260605!$B:$B,sum_pos_20260605!$A8,INDEX(result_20260605!$A:$Z,0,MATCH(sum_pos_20260605!J$1,result_20260605!$1:$1,0)))</f>
        <v>1</v>
      </c>
      <c r="K8">
        <f>SUMIF(result_20260605!$B:$B,sum_pos_20260605!$A8,INDEX(result_20260605!$A:$Z,0,MATCH(sum_pos_20260605!K$1,result_20260605!$1:$1,0)))</f>
        <v>0</v>
      </c>
      <c r="L8">
        <f>SUMIF(result_20260605!$B:$B,sum_pos_20260605!$A8,INDEX(result_20260605!$A:$Z,0,MATCH(sum_pos_20260605!L$1,result_20260605!$1:$1,0)))</f>
        <v>3</v>
      </c>
      <c r="M8">
        <f>SUMIF(result_20260605!$B:$B,sum_pos_20260605!$A8,INDEX(result_20260605!$A:$Z,0,MATCH(sum_pos_20260605!M$1,result_20260605!$1:$1,0)))</f>
        <v>1</v>
      </c>
      <c r="N8">
        <f>SUMIF(result_20260605!$B:$B,sum_pos_20260605!$A8,INDEX(result_20260605!$A:$Z,0,MATCH(sum_pos_20260605!N$1,result_20260605!$1:$1,0)))</f>
        <v>4</v>
      </c>
      <c r="O8">
        <f t="shared" si="0"/>
        <v>24</v>
      </c>
      <c r="P8" s="8">
        <f t="shared" si="1"/>
        <v>0.33333333333333331</v>
      </c>
    </row>
    <row r="9" spans="1:16">
      <c r="A9" t="s">
        <v>13</v>
      </c>
      <c r="B9">
        <f>SUMIF(result_20260605!$B:$B,sum_pos_20260605!$A9,INDEX(result_20260605!$A:$Z,0,MATCH(sum_pos_20260605!B$1,result_20260605!$1:$1,0)))</f>
        <v>1</v>
      </c>
      <c r="C9">
        <f>SUMIF(result_20260605!$B:$B,sum_pos_20260605!$A9,INDEX(result_20260605!$A:$Z,0,MATCH(sum_pos_20260605!C$1,result_20260605!$1:$1,0)))</f>
        <v>0</v>
      </c>
      <c r="D9">
        <f>SUMIF(result_20260605!$B:$B,sum_pos_20260605!$A9,INDEX(result_20260605!$A:$Z,0,MATCH(sum_pos_20260605!D$1,result_20260605!$1:$1,0)))</f>
        <v>0</v>
      </c>
      <c r="E9">
        <f>SUMIF(result_20260605!$B:$B,sum_pos_20260605!$A9,INDEX(result_20260605!$A:$Z,0,MATCH(sum_pos_20260605!E$1,result_20260605!$1:$1,0)))</f>
        <v>5</v>
      </c>
      <c r="F9">
        <f>SUMIF(result_20260605!$B:$B,sum_pos_20260605!$A9,INDEX(result_20260605!$A:$Z,0,MATCH(sum_pos_20260605!F$1,result_20260605!$1:$1,0)))</f>
        <v>0</v>
      </c>
      <c r="G9">
        <f>SUMIF(result_20260605!$B:$B,sum_pos_20260605!$A9,INDEX(result_20260605!$A:$Z,0,MATCH(sum_pos_20260605!G$1,result_20260605!$1:$1,0)))</f>
        <v>0</v>
      </c>
      <c r="H9">
        <f>SUMIF(result_20260605!$B:$B,sum_pos_20260605!$A9,INDEX(result_20260605!$A:$Z,0,MATCH(sum_pos_20260605!H$1,result_20260605!$1:$1,0)))</f>
        <v>0</v>
      </c>
      <c r="I9">
        <f>SUMIF(result_20260605!$B:$B,sum_pos_20260605!$A9,INDEX(result_20260605!$A:$Z,0,MATCH(sum_pos_20260605!I$1,result_20260605!$1:$1,0)))</f>
        <v>5</v>
      </c>
      <c r="J9">
        <f>SUMIF(result_20260605!$B:$B,sum_pos_20260605!$A9,INDEX(result_20260605!$A:$Z,0,MATCH(sum_pos_20260605!J$1,result_20260605!$1:$1,0)))</f>
        <v>0</v>
      </c>
      <c r="K9">
        <f>SUMIF(result_20260605!$B:$B,sum_pos_20260605!$A9,INDEX(result_20260605!$A:$Z,0,MATCH(sum_pos_20260605!K$1,result_20260605!$1:$1,0)))</f>
        <v>0</v>
      </c>
      <c r="L9">
        <f>SUMIF(result_20260605!$B:$B,sum_pos_20260605!$A9,INDEX(result_20260605!$A:$Z,0,MATCH(sum_pos_20260605!L$1,result_20260605!$1:$1,0)))</f>
        <v>0</v>
      </c>
      <c r="M9">
        <f>SUMIF(result_20260605!$B:$B,sum_pos_20260605!$A9,INDEX(result_20260605!$A:$Z,0,MATCH(sum_pos_20260605!M$1,result_20260605!$1:$1,0)))</f>
        <v>0</v>
      </c>
      <c r="N9">
        <f>SUMIF(result_20260605!$B:$B,sum_pos_20260605!$A9,INDEX(result_20260605!$A:$Z,0,MATCH(sum_pos_20260605!N$1,result_20260605!$1:$1,0)))</f>
        <v>0</v>
      </c>
      <c r="O9">
        <f t="shared" si="0"/>
        <v>6</v>
      </c>
      <c r="P9" s="8">
        <f t="shared" si="1"/>
        <v>0.16666666666666666</v>
      </c>
    </row>
    <row r="10" spans="1:16">
      <c r="A10" t="s">
        <v>14</v>
      </c>
      <c r="B10">
        <f>SUMIF(result_20260605!$B:$B,sum_pos_20260605!$A10,INDEX(result_20260605!$A:$Z,0,MATCH(sum_pos_20260605!B$1,result_20260605!$1:$1,0)))</f>
        <v>5</v>
      </c>
      <c r="C10">
        <f>SUMIF(result_20260605!$B:$B,sum_pos_20260605!$A10,INDEX(result_20260605!$A:$Z,0,MATCH(sum_pos_20260605!C$1,result_20260605!$1:$1,0)))</f>
        <v>5</v>
      </c>
      <c r="D10">
        <f>SUMIF(result_20260605!$B:$B,sum_pos_20260605!$A10,INDEX(result_20260605!$A:$Z,0,MATCH(sum_pos_20260605!D$1,result_20260605!$1:$1,0)))</f>
        <v>0</v>
      </c>
      <c r="E10">
        <f>SUMIF(result_20260605!$B:$B,sum_pos_20260605!$A10,INDEX(result_20260605!$A:$Z,0,MATCH(sum_pos_20260605!E$1,result_20260605!$1:$1,0)))</f>
        <v>14</v>
      </c>
      <c r="F10">
        <f>SUMIF(result_20260605!$B:$B,sum_pos_20260605!$A10,INDEX(result_20260605!$A:$Z,0,MATCH(sum_pos_20260605!F$1,result_20260605!$1:$1,0)))</f>
        <v>0</v>
      </c>
      <c r="G10">
        <f>SUMIF(result_20260605!$B:$B,sum_pos_20260605!$A10,INDEX(result_20260605!$A:$Z,0,MATCH(sum_pos_20260605!G$1,result_20260605!$1:$1,0)))</f>
        <v>0</v>
      </c>
      <c r="H10">
        <f>SUMIF(result_20260605!$B:$B,sum_pos_20260605!$A10,INDEX(result_20260605!$A:$Z,0,MATCH(sum_pos_20260605!H$1,result_20260605!$1:$1,0)))</f>
        <v>0</v>
      </c>
      <c r="I10">
        <f>SUMIF(result_20260605!$B:$B,sum_pos_20260605!$A10,INDEX(result_20260605!$A:$Z,0,MATCH(sum_pos_20260605!I$1,result_20260605!$1:$1,0)))</f>
        <v>7</v>
      </c>
      <c r="J10">
        <f>SUMIF(result_20260605!$B:$B,sum_pos_20260605!$A10,INDEX(result_20260605!$A:$Z,0,MATCH(sum_pos_20260605!J$1,result_20260605!$1:$1,0)))</f>
        <v>1</v>
      </c>
      <c r="K10">
        <f>SUMIF(result_20260605!$B:$B,sum_pos_20260605!$A10,INDEX(result_20260605!$A:$Z,0,MATCH(sum_pos_20260605!K$1,result_20260605!$1:$1,0)))</f>
        <v>0</v>
      </c>
      <c r="L10">
        <f>SUMIF(result_20260605!$B:$B,sum_pos_20260605!$A10,INDEX(result_20260605!$A:$Z,0,MATCH(sum_pos_20260605!L$1,result_20260605!$1:$1,0)))</f>
        <v>4</v>
      </c>
      <c r="M10">
        <f>SUMIF(result_20260605!$B:$B,sum_pos_20260605!$A10,INDEX(result_20260605!$A:$Z,0,MATCH(sum_pos_20260605!M$1,result_20260605!$1:$1,0)))</f>
        <v>2</v>
      </c>
      <c r="N10">
        <f>SUMIF(result_20260605!$B:$B,sum_pos_20260605!$A10,INDEX(result_20260605!$A:$Z,0,MATCH(sum_pos_20260605!N$1,result_20260605!$1:$1,0)))</f>
        <v>1</v>
      </c>
      <c r="O10">
        <f t="shared" si="0"/>
        <v>24</v>
      </c>
      <c r="P10" s="8">
        <f t="shared" si="1"/>
        <v>0.41666666666666669</v>
      </c>
    </row>
    <row r="11" spans="1:16">
      <c r="A11" s="24" t="s">
        <v>37</v>
      </c>
      <c r="B11" s="24">
        <f>SUM(B2:B10)</f>
        <v>25</v>
      </c>
      <c r="C11" s="24">
        <f t="shared" ref="C11:O11" si="2">SUM(C2:C10)</f>
        <v>40</v>
      </c>
      <c r="D11" s="24">
        <f t="shared" si="2"/>
        <v>0</v>
      </c>
      <c r="E11" s="24">
        <f t="shared" si="2"/>
        <v>97</v>
      </c>
      <c r="F11" s="24">
        <f t="shared" si="2"/>
        <v>0</v>
      </c>
      <c r="G11" s="24">
        <f t="shared" si="2"/>
        <v>1</v>
      </c>
      <c r="H11" s="24">
        <f t="shared" si="2"/>
        <v>0</v>
      </c>
      <c r="I11" s="24">
        <f t="shared" si="2"/>
        <v>70</v>
      </c>
      <c r="J11" s="24">
        <f t="shared" si="2"/>
        <v>2</v>
      </c>
      <c r="K11" s="24">
        <f t="shared" si="2"/>
        <v>0</v>
      </c>
      <c r="L11" s="24">
        <f t="shared" si="2"/>
        <v>14</v>
      </c>
      <c r="M11" s="24">
        <f t="shared" si="2"/>
        <v>10</v>
      </c>
      <c r="N11" s="24">
        <f t="shared" si="2"/>
        <v>6</v>
      </c>
      <c r="O11" s="24">
        <f t="shared" si="2"/>
        <v>162</v>
      </c>
      <c r="P11" s="25">
        <f t="shared" ref="P11" si="3">SUM(B11+C11)/O11</f>
        <v>0.40123456790123457</v>
      </c>
    </row>
  </sheetData>
  <phoneticPr fontId="1" type="noConversion"/>
  <conditionalFormatting sqref="P2:P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0C6D1-33C9-4392-8D00-2F368572C626}">
  <sheetPr>
    <tabColor theme="7" tint="-0.249977111117893"/>
  </sheetPr>
  <dimension ref="A1:C19"/>
  <sheetViews>
    <sheetView workbookViewId="0">
      <selection activeCell="O33" sqref="O33"/>
    </sheetView>
  </sheetViews>
  <sheetFormatPr defaultRowHeight="14.25"/>
  <cols>
    <col min="1" max="1" width="35.125" bestFit="1" customWidth="1"/>
    <col min="2" max="2" width="8.25" customWidth="1"/>
    <col min="3" max="3" width="11.25" style="8" bestFit="1" customWidth="1"/>
  </cols>
  <sheetData>
    <row r="1" spans="1:3">
      <c r="A1" s="24" t="s">
        <v>41</v>
      </c>
      <c r="B1" s="24" t="s">
        <v>43</v>
      </c>
      <c r="C1" s="25" t="s">
        <v>42</v>
      </c>
    </row>
    <row r="2" spans="1:3">
      <c r="A2" t="s">
        <v>19</v>
      </c>
      <c r="B2">
        <f>result_20260605!I164</f>
        <v>0</v>
      </c>
      <c r="C2" s="8">
        <f>B2/$B$19</f>
        <v>0</v>
      </c>
    </row>
    <row r="3" spans="1:3">
      <c r="A3" t="s">
        <v>1</v>
      </c>
      <c r="B3">
        <f>result_20260605!J164</f>
        <v>1</v>
      </c>
      <c r="C3" s="8">
        <f t="shared" ref="C3:C10" si="0">B3/$B$19</f>
        <v>1.0309278350515464E-2</v>
      </c>
    </row>
    <row r="4" spans="1:3">
      <c r="A4" t="s">
        <v>22</v>
      </c>
      <c r="B4">
        <f>result_20260605!K164</f>
        <v>0</v>
      </c>
      <c r="C4" s="8">
        <f t="shared" si="0"/>
        <v>0</v>
      </c>
    </row>
    <row r="5" spans="1:3">
      <c r="A5" t="s">
        <v>68</v>
      </c>
      <c r="B5">
        <f>result_20260605!L164</f>
        <v>70</v>
      </c>
      <c r="C5" s="8">
        <f t="shared" si="0"/>
        <v>0.72164948453608246</v>
      </c>
    </row>
    <row r="6" spans="1:3">
      <c r="A6" t="s">
        <v>69</v>
      </c>
      <c r="B6">
        <f>result_20260605!M164</f>
        <v>2</v>
      </c>
      <c r="C6" s="8">
        <f t="shared" si="0"/>
        <v>2.0618556701030927E-2</v>
      </c>
    </row>
    <row r="7" spans="1:3">
      <c r="A7" t="s">
        <v>20</v>
      </c>
      <c r="B7">
        <f>result_20260605!N164</f>
        <v>0</v>
      </c>
      <c r="C7" s="8">
        <f t="shared" si="0"/>
        <v>0</v>
      </c>
    </row>
    <row r="8" spans="1:3">
      <c r="A8" t="s">
        <v>25</v>
      </c>
      <c r="B8">
        <f>result_20260605!O164</f>
        <v>14</v>
      </c>
      <c r="C8" s="8">
        <f t="shared" si="0"/>
        <v>0.14432989690721648</v>
      </c>
    </row>
    <row r="9" spans="1:3">
      <c r="A9" t="s">
        <v>21</v>
      </c>
      <c r="B9">
        <f>result_20260605!P164</f>
        <v>10</v>
      </c>
      <c r="C9" s="8">
        <f t="shared" si="0"/>
        <v>0.10309278350515463</v>
      </c>
    </row>
    <row r="10" spans="1:3">
      <c r="A10" t="s">
        <v>24</v>
      </c>
      <c r="B10">
        <f>result_20260605!Q164</f>
        <v>6</v>
      </c>
      <c r="C10" s="8">
        <f t="shared" si="0"/>
        <v>6.1855670103092786E-2</v>
      </c>
    </row>
    <row r="14" spans="1:3">
      <c r="A14" t="s">
        <v>0</v>
      </c>
      <c r="B14">
        <f>result_20260605!E164</f>
        <v>25</v>
      </c>
    </row>
    <row r="15" spans="1:3">
      <c r="A15" t="s">
        <v>16</v>
      </c>
      <c r="B15">
        <f>result_20260605!F164</f>
        <v>40</v>
      </c>
    </row>
    <row r="16" spans="1:3">
      <c r="A16" t="s">
        <v>23</v>
      </c>
      <c r="B16">
        <f>result_20260605!G164</f>
        <v>0</v>
      </c>
    </row>
    <row r="17" spans="1:2">
      <c r="A17" t="s">
        <v>17</v>
      </c>
      <c r="B17">
        <f>result_20260605!H164</f>
        <v>97</v>
      </c>
    </row>
    <row r="18" spans="1:2" s="8" customFormat="1">
      <c r="A18" t="s">
        <v>34</v>
      </c>
      <c r="B18">
        <f>SUM(result_20260605!E164:H164)</f>
        <v>162</v>
      </c>
    </row>
    <row r="19" spans="1:2" s="8" customFormat="1">
      <c r="A19" t="s">
        <v>40</v>
      </c>
      <c r="B19">
        <f>SUM(result_20260605!G164:H164)</f>
        <v>97</v>
      </c>
    </row>
  </sheetData>
  <phoneticPr fontId="1" type="noConversion"/>
  <conditionalFormatting sqref="C2:C10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{9A27859D-0026-4028-9EDE-0556E0D9CCDA}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A27859D-0026-4028-9EDE-0556E0D9CCD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C2:C10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intro_20260526</vt:lpstr>
      <vt:lpstr>result_20260526</vt:lpstr>
      <vt:lpstr>sum_orient_20260526</vt:lpstr>
      <vt:lpstr>sum_pos_20260526</vt:lpstr>
      <vt:lpstr>sum_fail_20260526</vt:lpstr>
      <vt:lpstr>intro_20260605</vt:lpstr>
      <vt:lpstr>result_20260605</vt:lpstr>
      <vt:lpstr>sum_orient_20260605</vt:lpstr>
      <vt:lpstr>sum_pos_20260605</vt:lpstr>
      <vt:lpstr>sum_fail_20260605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Hu, Yimin</dc:creator>
  <cp:lastModifiedBy>Hu, Yimin</cp:lastModifiedBy>
  <dcterms:created xsi:type="dcterms:W3CDTF">2026-05-20T10:28:02Z</dcterms:created>
  <dcterms:modified xsi:type="dcterms:W3CDTF">2026-06-08T10:05:19Z</dcterms:modified>
</cp:coreProperties>
</file>